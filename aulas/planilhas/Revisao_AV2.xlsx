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ao conceitual" sheetId="1" state="visible" r:id="rId1"/>
    <sheet xmlns:r="http://schemas.openxmlformats.org/officeDocument/2006/relationships" name="Ex 1 e resolucao" sheetId="2" state="visible" r:id="rId2"/>
    <sheet xmlns:r="http://schemas.openxmlformats.org/officeDocument/2006/relationships" name="Ex 2 e resolu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Menlo"/>
      <sz val="10"/>
    </font>
    <font>
      <color rgb="001F4E7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64" fontId="2" fillId="7" borderId="1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 1 - Peso versus altura</a:t>
            </a:r>
          </a:p>
        </rich>
      </tx>
    </title>
    <plotArea>
      <scatterChart>
        <scatterStyle val="marker"/>
        <ser>
          <idx val="0"/>
          <order val="0"/>
          <tx>
            <v>Pessoas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'Ex 1 e resolucao'!$B$10:$B$17</f>
            </numRef>
          </xVal>
          <yVal>
            <numRef>
              <f>'Ex 1 e resolucao'!$C$10:$C$17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Altura (m) - 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Peso (kg) - 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 2 - Alunos e professores</a:t>
            </a:r>
          </a:p>
        </rich>
      </tx>
    </title>
    <plotArea>
      <scatterChart>
        <scatterStyle val="marker"/>
        <ser>
          <idx val="0"/>
          <order val="0"/>
          <tx>
            <v>Instituições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'Ex 2 e resolucao'!$B$10:$B$40</f>
            </numRef>
          </xVal>
          <yVal>
            <numRef>
              <f>'Ex 2 e resolucao'!$C$10:$C$40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alunos (x)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professores (y)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58" customWidth="1" min="3" max="3"/>
    <col width="52" customWidth="1" min="4" max="4"/>
    <col width="58" customWidth="1" min="5" max="5"/>
    <col width="42" customWidth="1" min="6" max="6"/>
  </cols>
  <sheetData>
    <row r="1" ht="25" customHeight="1">
      <c r="A1" s="1" t="inlineStr">
        <is>
          <t>Revisao Pearson, Regressao Linear Simples e ANOVA</t>
        </is>
      </c>
    </row>
    <row r="2">
      <c r="A2" s="2" t="n"/>
      <c r="B2" s="3" t="n"/>
      <c r="C2" s="3" t="n"/>
      <c r="D2" s="3" t="n"/>
      <c r="E2" s="3" t="n"/>
      <c r="F2" s="3" t="n"/>
    </row>
    <row r="3" ht="22" customHeight="1">
      <c r="A3" s="4" t="inlineStr">
        <is>
          <t>Sequencia metodologica da revisao</t>
        </is>
      </c>
    </row>
    <row r="4">
      <c r="A4" s="2" t="inlineStr">
        <is>
          <t>1. Definir a variavel explicativa x e a variavel resposta y.</t>
        </is>
      </c>
    </row>
    <row r="5">
      <c r="A5" s="2" t="inlineStr">
        <is>
          <t>2. Observar o diagrama de dispersao antes dos calculos.</t>
        </is>
      </c>
    </row>
    <row r="6">
      <c r="A6" s="2" t="inlineStr">
        <is>
          <t>3. Calcular medias de x e y.</t>
        </is>
      </c>
    </row>
    <row r="7">
      <c r="A7" s="2" t="inlineStr">
        <is>
          <t>4. Calcular desvios em relacao as medias.</t>
        </is>
      </c>
    </row>
    <row r="8">
      <c r="A8" s="2" t="inlineStr">
        <is>
          <t>5. Calcular somatorios: produtos dos desvios e quadrados dos desvios.</t>
        </is>
      </c>
    </row>
    <row r="9">
      <c r="A9" s="2" t="inlineStr">
        <is>
          <t>6. Calcular a correlacao de Pearson r.</t>
        </is>
      </c>
    </row>
    <row r="10">
      <c r="A10" s="2" t="inlineStr">
        <is>
          <t>7. Ajustar a reta y_chapeu = a + b*x.</t>
        </is>
      </c>
    </row>
    <row r="11">
      <c r="A11" s="2" t="inlineStr">
        <is>
          <t>8. Calcular valores previstos e residuos.</t>
        </is>
      </c>
    </row>
    <row r="12">
      <c r="A12" s="2" t="inlineStr">
        <is>
          <t>9. Decompor a variabilidade via ANOVA da regressao.</t>
        </is>
      </c>
    </row>
    <row r="13">
      <c r="A13" s="2" t="inlineStr">
        <is>
          <t>10. Validar com funcoes prontas do Google Planilhas.</t>
        </is>
      </c>
    </row>
    <row r="14">
      <c r="A14" s="2" t="inlineStr">
        <is>
          <t>11. Interpretar criticamente: associacao, escala, residuos e valores atipicos/outliers.</t>
        </is>
      </c>
    </row>
    <row r="15">
      <c r="A15" s="2" t="n"/>
      <c r="B15" s="3" t="n"/>
      <c r="C15" s="3" t="n"/>
      <c r="D15" s="3" t="n"/>
      <c r="E15" s="3" t="n"/>
      <c r="F15" s="3" t="n"/>
    </row>
    <row r="16" ht="22" customHeight="1">
      <c r="A16" s="5" t="inlineStr">
        <is>
          <t>Formulas com calculo manual, formula pronta e parametros</t>
        </is>
      </c>
    </row>
    <row r="17">
      <c r="A17" s="6" t="inlineStr">
        <is>
          <t>Topico</t>
        </is>
      </c>
      <c r="B17" s="7" t="inlineStr">
        <is>
          <t>Formula conceitual</t>
        </is>
      </c>
      <c r="C17" s="7" t="inlineStr">
        <is>
          <t>Calculo manual por somatorios</t>
        </is>
      </c>
      <c r="D17" s="7" t="inlineStr">
        <is>
          <t>Formula pronta Google Planilhas</t>
        </is>
      </c>
      <c r="E17" s="7" t="inlineStr">
        <is>
          <t>Parametros</t>
        </is>
      </c>
      <c r="F17" s="7" t="inlineStr">
        <is>
          <t>Cuidado didatico</t>
        </is>
      </c>
    </row>
    <row r="18">
      <c r="A18" s="8" t="inlineStr">
        <is>
          <t>Correlacao de Pearson</t>
        </is>
      </c>
      <c r="B18" s="9" t="inlineStr">
        <is>
          <t>r = SOMA[(x_i-x_barra)(y_i-y_barra)] / RAIZ(SOMA(x_i-x_barra)^2*SOMA(y_i-y_barra)^2)</t>
        </is>
      </c>
      <c r="C18" s="9" t="inlineStr">
        <is>
          <t>Criar dx, dy, dx*dy, dx^2, dy^2; depois SOMA(dx*dy)/RAIZ(SOMA(dx^2)*SOMA(dy^2)).</t>
        </is>
      </c>
      <c r="D18" s="10">
        <f>CORREL(intervalo_y; intervalo_x)</f>
        <v/>
      </c>
      <c r="E18" s="9" t="inlineStr">
        <is>
          <t>intervalo_x: variavel explicativa; intervalo_y: variavel resposta.</t>
        </is>
      </c>
      <c r="F18" s="9" t="inlineStr">
        <is>
          <t>Mede associacao linear, nao causalidade.</t>
        </is>
      </c>
    </row>
    <row r="19">
      <c r="A19" s="8" t="inlineStr">
        <is>
          <t>Regressao linear simples</t>
        </is>
      </c>
      <c r="B19" s="9" t="inlineStr">
        <is>
          <t>y_chapeu = a + b*x</t>
        </is>
      </c>
      <c r="C19" s="9" t="inlineStr">
        <is>
          <t>Calcular b e a pelos somatorios; depois y_chapeu_i = a + b*x_i.</t>
        </is>
      </c>
      <c r="D19" s="10">
        <f>SLOPE(intervalo_y; intervalo_x) e =INTERCEPT(intervalo_y; intervalo_x)</f>
        <v/>
      </c>
      <c r="E19" s="9" t="inlineStr">
        <is>
          <t>SLOPE retorna b; INTERCEPT retorna a.</t>
        </is>
      </c>
      <c r="F19" s="9" t="inlineStr">
        <is>
          <t>Descreve tendencia media condicional, nao prova causa.</t>
        </is>
      </c>
    </row>
    <row r="20">
      <c r="A20" s="8" t="inlineStr">
        <is>
          <t>Inclinação b</t>
        </is>
      </c>
      <c r="B20" s="9" t="inlineStr">
        <is>
          <t>b = SOMA[(x_i-x_barra)(y_i-y_barra)] / SOMA(x_i-x_barra)^2</t>
        </is>
      </c>
      <c r="C20" s="9" t="inlineStr">
        <is>
          <t>Dividir a soma dos produtos dos desvios pela soma dos quadrados dos desvios de x.</t>
        </is>
      </c>
      <c r="D20" s="10">
        <f>SLOPE(intervalo_y; intervalo_x)</f>
        <v/>
      </c>
      <c r="E20" s="9" t="inlineStr">
        <is>
          <t>b tem unidade de y por unidade de x.</t>
        </is>
      </c>
      <c r="F20" s="9" t="inlineStr">
        <is>
          <t>Interpretar em escala compreensivel.</t>
        </is>
      </c>
    </row>
    <row r="21">
      <c r="A21" s="8" t="inlineStr">
        <is>
          <t>Intercepto a</t>
        </is>
      </c>
      <c r="B21" s="9" t="inlineStr">
        <is>
          <t>a = y_barra - b*x_barra</t>
        </is>
      </c>
      <c r="C21" s="9" t="inlineStr">
        <is>
          <t>Usar media de y, inclinacao b e media de x.</t>
        </is>
      </c>
      <c r="D21" s="10">
        <f>INTERCEPT(intervalo_y; intervalo_x)</f>
        <v/>
      </c>
      <c r="E21" s="9" t="inlineStr">
        <is>
          <t>a e o valor previsto quando x=0.</t>
        </is>
      </c>
      <c r="F21" s="9" t="inlineStr">
        <is>
          <t>Pode ser apenas parametro tecnico.</t>
        </is>
      </c>
    </row>
    <row r="22">
      <c r="A22" s="8" t="inlineStr">
        <is>
          <t>Previstos e residuos</t>
        </is>
      </c>
      <c r="B22" s="9" t="inlineStr">
        <is>
          <t>y_chapeu_i = a + b*x_i; e_i = y_i - y_chapeu_i</t>
        </is>
      </c>
      <c r="C22" s="9" t="inlineStr">
        <is>
          <t>Criar colunas y_chapeu, residuo, residuo^2 e (y_chapeu-y_barra)^2.</t>
        </is>
      </c>
      <c r="D22" s="11" t="inlineStr">
        <is>
          <t>Sem funcao pronta necessaria.</t>
        </is>
      </c>
      <c r="E22" s="9" t="inlineStr">
        <is>
          <t>e_i positivo: observado acima do previsto; e_i negativo: observado abaixo.</t>
        </is>
      </c>
      <c r="F22" s="9" t="inlineStr">
        <is>
          <t>Residuos ajudam a avaliar ajuste.</t>
        </is>
      </c>
    </row>
    <row r="23">
      <c r="A23" s="8" t="inlineStr">
        <is>
          <t>Coeficiente de determinacao</t>
        </is>
      </c>
      <c r="B23" s="9" t="inlineStr">
        <is>
          <t>R2 = SQReg/SQTot = 1 - SQRes/SQTot; em regressao simples com intercepto, R2 = r^2</t>
        </is>
      </c>
      <c r="C23" s="9" t="inlineStr">
        <is>
          <t>Calcular SQTot, SQReg e SQRes a partir das colunas auxiliares.</t>
        </is>
      </c>
      <c r="D23" s="10">
        <f>RSQ(intervalo_y; intervalo_x)</f>
        <v/>
      </c>
      <c r="E23" s="9" t="inlineStr">
        <is>
          <t>RSQ retorna R2.</t>
        </is>
      </c>
      <c r="F23" s="9" t="inlineStr">
        <is>
          <t>R2 alto nao garante modelo adequado.</t>
        </is>
      </c>
    </row>
    <row r="24">
      <c r="A24" s="8" t="inlineStr">
        <is>
          <t>ANOVA da regressao</t>
        </is>
      </c>
      <c r="B24" s="9" t="inlineStr">
        <is>
          <t>SQTot = SQReg + SQRes; F = QMReg/QMRes</t>
        </is>
      </c>
      <c r="C24" s="9" t="inlineStr">
        <is>
          <t>SQTot=SOMA((y_i-y_barra)^2); SQReg=SOMA((y_chapeu_i-y_barra)^2); SQRes=SOMA(e_i^2); glReg=1; glRes=n-2; QMReg=SQReg/glReg; QMRes=SQRes/glRes; F=QMReg/QMRes.</t>
        </is>
      </c>
      <c r="D24" s="10">
        <f>INDEX(LINEST(intervalo_y; intervalo_x; TRUE; TRUE); 4; 1)</f>
        <v/>
      </c>
      <c r="E24" s="9" t="inlineStr">
        <is>
          <t>LINEST com estatisticas retorna matriz; linha 4, coluna 1 e a estatistica F.</t>
        </is>
      </c>
      <c r="F24" s="9" t="inlineStr">
        <is>
          <t>Aqui a ANOVA decompoe variabilidade e valida F, sem teste de significancia.</t>
        </is>
      </c>
    </row>
    <row r="25">
      <c r="A25" s="2" t="n"/>
      <c r="B25" s="3" t="n"/>
      <c r="C25" s="3" t="n"/>
      <c r="D25" s="3" t="n"/>
      <c r="E25" s="3" t="n"/>
      <c r="F25" s="3" t="n"/>
    </row>
    <row r="26" ht="22" customHeight="1">
      <c r="A26" s="4" t="inlineStr">
        <is>
          <t>Discriminacao dos simbolos e contextualizacao</t>
        </is>
      </c>
    </row>
    <row r="27">
      <c r="A27" s="12" t="inlineStr">
        <is>
          <t>Simbolo</t>
        </is>
      </c>
      <c r="B27" s="13" t="inlineStr">
        <is>
          <t>Significado</t>
        </is>
      </c>
      <c r="C27" s="13" t="inlineStr">
        <is>
          <t>Uso nesta revisao</t>
        </is>
      </c>
      <c r="D27" s="3" t="n"/>
      <c r="E27" s="3" t="n"/>
      <c r="F27" s="3" t="n"/>
    </row>
    <row r="28">
      <c r="A28" s="8" t="inlineStr">
        <is>
          <t>x_i</t>
        </is>
      </c>
      <c r="B28" s="9" t="inlineStr">
        <is>
          <t>valor observado da variavel explicativa no caso i</t>
        </is>
      </c>
      <c r="C28" s="9" t="inlineStr">
        <is>
          <t>Ex 1: altura; Ex 2: alunos</t>
        </is>
      </c>
      <c r="D28" s="3" t="n"/>
      <c r="E28" s="3" t="n"/>
      <c r="F28" s="3" t="n"/>
    </row>
    <row r="29">
      <c r="A29" s="8" t="inlineStr">
        <is>
          <t>y_i</t>
        </is>
      </c>
      <c r="B29" s="9" t="inlineStr">
        <is>
          <t>valor observado da variavel resposta no caso i</t>
        </is>
      </c>
      <c r="C29" s="9" t="inlineStr">
        <is>
          <t>Ex 1: peso; Ex 2: professores</t>
        </is>
      </c>
      <c r="D29" s="3" t="n"/>
      <c r="E29" s="3" t="n"/>
      <c r="F29" s="3" t="n"/>
    </row>
    <row r="30">
      <c r="A30" s="8" t="inlineStr">
        <is>
          <t>n</t>
        </is>
      </c>
      <c r="B30" s="9" t="inlineStr">
        <is>
          <t>numero de observacoes</t>
        </is>
      </c>
      <c r="C30" s="9" t="inlineStr">
        <is>
          <t>Ex 1: 8 com todos; 7 sem Silvio; Ex 2: 31</t>
        </is>
      </c>
      <c r="D30" s="3" t="n"/>
      <c r="E30" s="3" t="n"/>
      <c r="F30" s="3" t="n"/>
    </row>
    <row r="31">
      <c r="A31" s="8" t="inlineStr">
        <is>
          <t>x_barra</t>
        </is>
      </c>
      <c r="B31" s="9" t="inlineStr">
        <is>
          <t>media de x</t>
        </is>
      </c>
      <c r="C31" s="9" t="inlineStr">
        <is>
          <t>referencia para desvios de x</t>
        </is>
      </c>
      <c r="D31" s="3" t="n"/>
      <c r="E31" s="3" t="n"/>
      <c r="F31" s="3" t="n"/>
    </row>
    <row r="32">
      <c r="A32" s="8" t="inlineStr">
        <is>
          <t>y_barra</t>
        </is>
      </c>
      <c r="B32" s="9" t="inlineStr">
        <is>
          <t>media de y</t>
        </is>
      </c>
      <c r="C32" s="9" t="inlineStr">
        <is>
          <t>referencia para desvios de y</t>
        </is>
      </c>
      <c r="D32" s="3" t="n"/>
      <c r="E32" s="3" t="n"/>
      <c r="F32" s="3" t="n"/>
    </row>
    <row r="33">
      <c r="A33" s="8" t="inlineStr">
        <is>
          <t>r</t>
        </is>
      </c>
      <c r="B33" s="9" t="inlineStr">
        <is>
          <t>coeficiente de correlacao de Pearson</t>
        </is>
      </c>
      <c r="C33" s="9" t="inlineStr">
        <is>
          <t>direcao e forca da associacao linear</t>
        </is>
      </c>
      <c r="D33" s="3" t="n"/>
      <c r="E33" s="3" t="n"/>
      <c r="F33" s="3" t="n"/>
    </row>
    <row r="34">
      <c r="A34" s="8" t="inlineStr">
        <is>
          <t>a</t>
        </is>
      </c>
      <c r="B34" s="9" t="inlineStr">
        <is>
          <t>intercepto da reta</t>
        </is>
      </c>
      <c r="C34" s="9" t="inlineStr">
        <is>
          <t>valor previsto quando x=0</t>
        </is>
      </c>
      <c r="D34" s="3" t="n"/>
      <c r="E34" s="3" t="n"/>
      <c r="F34" s="3" t="n"/>
    </row>
    <row r="35">
      <c r="A35" s="8" t="inlineStr">
        <is>
          <t>b</t>
        </is>
      </c>
      <c r="B35" s="9" t="inlineStr">
        <is>
          <t>coeficiente angular</t>
        </is>
      </c>
      <c r="C35" s="9" t="inlineStr">
        <is>
          <t>variacao media prevista em y por unidade de x</t>
        </is>
      </c>
      <c r="D35" s="3" t="n"/>
      <c r="E35" s="3" t="n"/>
      <c r="F35" s="3" t="n"/>
    </row>
    <row r="36">
      <c r="A36" s="8" t="inlineStr">
        <is>
          <t>y_chapeu_i</t>
        </is>
      </c>
      <c r="B36" s="9" t="inlineStr">
        <is>
          <t>valor previsto pelo modelo</t>
        </is>
      </c>
      <c r="C36" s="9" t="inlineStr">
        <is>
          <t>usado em residuos e ANOVA</t>
        </is>
      </c>
      <c r="D36" s="3" t="n"/>
      <c r="E36" s="3" t="n"/>
      <c r="F36" s="3" t="n"/>
    </row>
    <row r="37">
      <c r="A37" s="8" t="inlineStr">
        <is>
          <t>e_i</t>
        </is>
      </c>
      <c r="B37" s="9" t="inlineStr">
        <is>
          <t>residuo y_i - y_chapeu_i</t>
        </is>
      </c>
      <c r="C37" s="9" t="inlineStr">
        <is>
          <t>parte nao explicada pela reta</t>
        </is>
      </c>
      <c r="D37" s="3" t="n"/>
      <c r="E37" s="3" t="n"/>
      <c r="F37" s="3" t="n"/>
    </row>
    <row r="38">
      <c r="A38" s="8" t="inlineStr">
        <is>
          <t>SQTot</t>
        </is>
      </c>
      <c r="B38" s="9" t="inlineStr">
        <is>
          <t>soma total dos quadrados</t>
        </is>
      </c>
      <c r="C38" s="9" t="inlineStr">
        <is>
          <t>variabilidade total observada em y</t>
        </is>
      </c>
      <c r="D38" s="3" t="n"/>
      <c r="E38" s="3" t="n"/>
      <c r="F38" s="3" t="n"/>
    </row>
    <row r="39">
      <c r="A39" s="8" t="inlineStr">
        <is>
          <t>SQReg</t>
        </is>
      </c>
      <c r="B39" s="9" t="inlineStr">
        <is>
          <t>soma dos quadrados da regressao</t>
        </is>
      </c>
      <c r="C39" s="9" t="inlineStr">
        <is>
          <t>variabilidade explicada pela reta</t>
        </is>
      </c>
      <c r="D39" s="3" t="n"/>
      <c r="E39" s="3" t="n"/>
      <c r="F39" s="3" t="n"/>
    </row>
    <row r="40">
      <c r="A40" s="8" t="inlineStr">
        <is>
          <t>SQRes</t>
        </is>
      </c>
      <c r="B40" s="9" t="inlineStr">
        <is>
          <t>soma dos quadrados dos residuos</t>
        </is>
      </c>
      <c r="C40" s="9" t="inlineStr">
        <is>
          <t>variabilidade nao explicada</t>
        </is>
      </c>
      <c r="D40" s="3" t="n"/>
      <c r="E40" s="3" t="n"/>
      <c r="F40" s="3" t="n"/>
    </row>
    <row r="41">
      <c r="A41" s="8" t="inlineStr">
        <is>
          <t>R2</t>
        </is>
      </c>
      <c r="B41" s="9" t="inlineStr">
        <is>
          <t>coeficiente de determinacao</t>
        </is>
      </c>
      <c r="C41" s="9" t="inlineStr">
        <is>
          <t>proporcao explicada linearmente por x</t>
        </is>
      </c>
      <c r="D41" s="3" t="n"/>
      <c r="E41" s="3" t="n"/>
      <c r="F41" s="3" t="n"/>
    </row>
    <row r="42">
      <c r="A42" s="8" t="inlineStr">
        <is>
          <t>F</t>
        </is>
      </c>
      <c r="B42" s="9" t="inlineStr">
        <is>
          <t>estatistica F da ANOVA</t>
        </is>
      </c>
      <c r="C42" s="9" t="inlineStr">
        <is>
          <t>razao entre QMReg e QMRes</t>
        </is>
      </c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 ht="22" customHeight="1">
      <c r="A44" s="14" t="inlineStr">
        <is>
          <t>Alertas metodologicos</t>
        </is>
      </c>
    </row>
    <row r="45">
      <c r="A45" s="2" t="inlineStr">
        <is>
          <t>Correlacao nao implica causalidade.</t>
        </is>
      </c>
    </row>
    <row r="46">
      <c r="A46" s="2" t="inlineStr">
        <is>
          <t>r mede associacao linear; uma relacao nao linear pode ter r baixo.</t>
        </is>
      </c>
    </row>
    <row r="47">
      <c r="A47" s="2" t="inlineStr">
        <is>
          <t>R2 alto nao substitui grafico de dispersao nem analise de residuos.</t>
        </is>
      </c>
    </row>
    <row r="48">
      <c r="A48" s="2" t="inlineStr">
        <is>
          <t>ANOVA sera usada para decompor variabilidade e obter F, sem discussao de significancia estatistica.</t>
        </is>
      </c>
    </row>
    <row r="49">
      <c r="A49" s="2" t="inlineStr">
        <is>
          <t>Valor atipico/outlier nao deve ser excluido automaticamente; a exclusao deve ser comparativa e justificada.</t>
        </is>
      </c>
    </row>
    <row r="50">
      <c r="A50" s="2" t="inlineStr">
        <is>
          <t>Intercepto pode ser apenas parametro tecnico quando x=0 nao tem sentido no contexto.</t>
        </is>
      </c>
    </row>
  </sheetData>
  <mergeCells count="22">
    <mergeCell ref="A16:F16"/>
    <mergeCell ref="A46:F46"/>
    <mergeCell ref="A12:F12"/>
    <mergeCell ref="A50:F50"/>
    <mergeCell ref="A26:F26"/>
    <mergeCell ref="A3:F3"/>
    <mergeCell ref="A47:F47"/>
    <mergeCell ref="A14:F14"/>
    <mergeCell ref="A5:F5"/>
    <mergeCell ref="A8:F8"/>
    <mergeCell ref="A4:F4"/>
    <mergeCell ref="A10:F10"/>
    <mergeCell ref="A13:F13"/>
    <mergeCell ref="A44:F44"/>
    <mergeCell ref="A9:F9"/>
    <mergeCell ref="A48:F48"/>
    <mergeCell ref="A11:F11"/>
    <mergeCell ref="A49:F49"/>
    <mergeCell ref="A1:F1"/>
    <mergeCell ref="A45:F45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6" customWidth="1" min="13" max="13"/>
    <col width="15" customWidth="1" min="14" max="14"/>
    <col width="15" customWidth="1" min="15" max="15"/>
    <col width="15" customWidth="1" min="16" max="16"/>
  </cols>
  <sheetData>
    <row r="1" ht="25" customHeight="1">
      <c r="A1" s="1" t="inlineStr">
        <is>
          <t>Ex 1 - Peso versus altura</t>
        </is>
      </c>
    </row>
    <row r="2" ht="285" customHeight="1">
      <c r="A2" s="15" t="inlineStr">
        <is>
          <t>Os dados a seguir se referem a uma amostra de oito pessoas para as quais se dispõe de informações relativas a:
- nome;
- altura, em metros;
- peso, em quilos.
Nome | Altura | Peso
Jorge | 1,89 | 73
Diva | 1,74 | 68
André | 1,93 | 82
Lucia | 1,74 | 57
Silvio | 1,78 | 126
Pedro | 1,92 | 90
Maria | 1,61 | 53
Norma | 1,80 | 65
Calcule:
a) média e desvio-padrão da altura;
b) média e desvio-padrão do peso;
c) correlação e reta de regressão para explicar peso pela altura;
d) repita a correlação e a regressão excluindo Silvio;
e) interprete o efeito dessa exclusão.</t>
        </is>
      </c>
    </row>
    <row r="3" ht="22" customHeight="1">
      <c r="A3" s="15" t="inlineStr">
        <is>
          <t>Observacao inicial e perguntas orientadoras</t>
        </is>
      </c>
    </row>
    <row r="4" ht="48" customHeight="1">
      <c r="A4" s="2" t="inlineStr">
        <is>
          <t>Qual e a variavel explicativa? x = altura.
Antes dos calculos, confirme: faz sentido usar altura para explicar peso? Qual e a unidade de x e como ela afeta a interpretacao da inclinacao da reta?</t>
        </is>
      </c>
    </row>
    <row r="5" ht="48" customHeight="1">
      <c r="A5" s="2" t="inlineStr">
        <is>
          <t>Qual e a variavel resposta? y = peso.
O objetivo e apenas medir associacao ou tambem prever peso a partir da altura? Que tipo de erro de previsao seria esperado nesse contexto?</t>
        </is>
      </c>
    </row>
    <row r="6" ht="60" customHeight="1">
      <c r="A6" s="2" t="inlineStr">
        <is>
          <t>O grafico sugere associacao positiva, negativa ou fraca?
Compare a leitura visual com r, com o sinal de b e com R2. R2 alto significa bom ajuste? R2 baixo elimina a possibilidade de alguma relacao linear?</t>
        </is>
      </c>
    </row>
    <row r="7" ht="84" customHeight="1">
      <c r="A7" s="2" t="inlineStr">
        <is>
          <t>Silvio parece valor atipico/outlier? A exclusao nao deve ser automatica.
Analise residuos, SQReg, SQRes, SQTot e R2 antes e depois de retirar Silvio. Na ANOVA, o que representam gl, QM e F? O F sugere que a regressao explica variacao relevante? A decisao estatistica muda quando comparamos todos os casos com o cenario sem Silvio?</t>
        </is>
      </c>
    </row>
    <row r="8" ht="22" customHeight="1">
      <c r="A8" s="4" t="inlineStr">
        <is>
          <t>Dados e calculo manual por somatorios</t>
        </is>
      </c>
    </row>
    <row r="9">
      <c r="A9" s="12" t="inlineStr">
        <is>
          <t>Caso</t>
        </is>
      </c>
      <c r="B9" s="13" t="inlineStr">
        <is>
          <t>x = altura (m)</t>
        </is>
      </c>
      <c r="C9" s="13" t="inlineStr">
        <is>
          <t>y = peso (kg)</t>
        </is>
      </c>
      <c r="D9" s="13" t="inlineStr">
        <is>
          <t>dx</t>
        </is>
      </c>
      <c r="E9" s="13" t="inlineStr">
        <is>
          <t>dy</t>
        </is>
      </c>
      <c r="F9" s="13" t="inlineStr">
        <is>
          <t>dx*dy</t>
        </is>
      </c>
      <c r="G9" s="13" t="inlineStr">
        <is>
          <t>dx^2</t>
        </is>
      </c>
      <c r="H9" s="13" t="inlineStr">
        <is>
          <t>dy^2 / SQTot</t>
        </is>
      </c>
      <c r="I9" s="13" t="inlineStr">
        <is>
          <t>y_chapeu</t>
        </is>
      </c>
      <c r="J9" s="13" t="inlineStr">
        <is>
          <t>residuo</t>
        </is>
      </c>
      <c r="K9" s="13" t="inlineStr">
        <is>
          <t>residuo^2 / SQRes</t>
        </is>
      </c>
      <c r="L9" s="13" t="inlineStr">
        <is>
          <t>y_chapeu-y_barra</t>
        </is>
      </c>
      <c r="M9" s="13" t="inlineStr">
        <is>
          <t>SQReg parcela</t>
        </is>
      </c>
      <c r="N9" s="3" t="n"/>
      <c r="O9" s="3" t="n"/>
      <c r="P9" s="3" t="n"/>
    </row>
    <row r="10">
      <c r="A10" s="8" t="inlineStr">
        <is>
          <t>Jorge</t>
        </is>
      </c>
      <c r="B10" s="16" t="n">
        <v>1.89</v>
      </c>
      <c r="C10" s="17" t="n">
        <v>73</v>
      </c>
      <c r="D10" s="10">
        <f>B10-$B$21</f>
        <v/>
      </c>
      <c r="E10" s="10">
        <f>C10-$B$22</f>
        <v/>
      </c>
      <c r="F10" s="10">
        <f>D10*E10</f>
        <v/>
      </c>
      <c r="G10" s="10">
        <f>D10^2</f>
        <v/>
      </c>
      <c r="H10" s="10">
        <f>E10^2</f>
        <v/>
      </c>
      <c r="I10" s="10">
        <f>$B$29+$B$28*B10</f>
        <v/>
      </c>
      <c r="J10" s="10">
        <f>C10-I10</f>
        <v/>
      </c>
      <c r="K10" s="10">
        <f>J10^2</f>
        <v/>
      </c>
      <c r="L10" s="10">
        <f>I10-$B$22</f>
        <v/>
      </c>
      <c r="M10" s="10">
        <f>L10^2</f>
        <v/>
      </c>
      <c r="N10" s="3" t="n"/>
      <c r="O10" s="3" t="n"/>
      <c r="P10" s="3" t="n"/>
    </row>
    <row r="11">
      <c r="A11" s="8" t="inlineStr">
        <is>
          <t>Diva</t>
        </is>
      </c>
      <c r="B11" s="16" t="n">
        <v>1.74</v>
      </c>
      <c r="C11" s="17" t="n">
        <v>68</v>
      </c>
      <c r="D11" s="10">
        <f>B11-$B$21</f>
        <v/>
      </c>
      <c r="E11" s="10">
        <f>C11-$B$22</f>
        <v/>
      </c>
      <c r="F11" s="10">
        <f>D11*E11</f>
        <v/>
      </c>
      <c r="G11" s="10">
        <f>D11^2</f>
        <v/>
      </c>
      <c r="H11" s="10">
        <f>E11^2</f>
        <v/>
      </c>
      <c r="I11" s="10">
        <f>$B$29+$B$28*B11</f>
        <v/>
      </c>
      <c r="J11" s="10">
        <f>C11-I11</f>
        <v/>
      </c>
      <c r="K11" s="10">
        <f>J11^2</f>
        <v/>
      </c>
      <c r="L11" s="10">
        <f>I11-$B$22</f>
        <v/>
      </c>
      <c r="M11" s="10">
        <f>L11^2</f>
        <v/>
      </c>
      <c r="N11" s="3" t="n"/>
      <c r="O11" s="3" t="n"/>
      <c r="P11" s="3" t="n"/>
    </row>
    <row r="12">
      <c r="A12" s="8" t="inlineStr">
        <is>
          <t>Andre</t>
        </is>
      </c>
      <c r="B12" s="16" t="n">
        <v>1.93</v>
      </c>
      <c r="C12" s="17" t="n">
        <v>82</v>
      </c>
      <c r="D12" s="10">
        <f>B12-$B$21</f>
        <v/>
      </c>
      <c r="E12" s="10">
        <f>C12-$B$22</f>
        <v/>
      </c>
      <c r="F12" s="10">
        <f>D12*E12</f>
        <v/>
      </c>
      <c r="G12" s="10">
        <f>D12^2</f>
        <v/>
      </c>
      <c r="H12" s="10">
        <f>E12^2</f>
        <v/>
      </c>
      <c r="I12" s="10">
        <f>$B$29+$B$28*B12</f>
        <v/>
      </c>
      <c r="J12" s="10">
        <f>C12-I12</f>
        <v/>
      </c>
      <c r="K12" s="10">
        <f>J12^2</f>
        <v/>
      </c>
      <c r="L12" s="10">
        <f>I12-$B$22</f>
        <v/>
      </c>
      <c r="M12" s="10">
        <f>L12^2</f>
        <v/>
      </c>
      <c r="N12" s="3" t="n"/>
      <c r="O12" s="3" t="n"/>
      <c r="P12" s="3" t="n"/>
    </row>
    <row r="13">
      <c r="A13" s="8" t="inlineStr">
        <is>
          <t>Lucia</t>
        </is>
      </c>
      <c r="B13" s="16" t="n">
        <v>1.74</v>
      </c>
      <c r="C13" s="17" t="n">
        <v>57</v>
      </c>
      <c r="D13" s="10">
        <f>B13-$B$21</f>
        <v/>
      </c>
      <c r="E13" s="10">
        <f>C13-$B$22</f>
        <v/>
      </c>
      <c r="F13" s="10">
        <f>D13*E13</f>
        <v/>
      </c>
      <c r="G13" s="10">
        <f>D13^2</f>
        <v/>
      </c>
      <c r="H13" s="10">
        <f>E13^2</f>
        <v/>
      </c>
      <c r="I13" s="10">
        <f>$B$29+$B$28*B13</f>
        <v/>
      </c>
      <c r="J13" s="10">
        <f>C13-I13</f>
        <v/>
      </c>
      <c r="K13" s="10">
        <f>J13^2</f>
        <v/>
      </c>
      <c r="L13" s="10">
        <f>I13-$B$22</f>
        <v/>
      </c>
      <c r="M13" s="10">
        <f>L13^2</f>
        <v/>
      </c>
      <c r="N13" s="3" t="n"/>
      <c r="O13" s="3" t="n"/>
      <c r="P13" s="3" t="n"/>
    </row>
    <row r="14">
      <c r="A14" s="8" t="inlineStr">
        <is>
          <t>Silvio</t>
        </is>
      </c>
      <c r="B14" s="16" t="n">
        <v>1.78</v>
      </c>
      <c r="C14" s="17" t="n">
        <v>126</v>
      </c>
      <c r="D14" s="10">
        <f>B14-$B$21</f>
        <v/>
      </c>
      <c r="E14" s="10">
        <f>C14-$B$22</f>
        <v/>
      </c>
      <c r="F14" s="10">
        <f>D14*E14</f>
        <v/>
      </c>
      <c r="G14" s="10">
        <f>D14^2</f>
        <v/>
      </c>
      <c r="H14" s="10">
        <f>E14^2</f>
        <v/>
      </c>
      <c r="I14" s="10">
        <f>$B$29+$B$28*B14</f>
        <v/>
      </c>
      <c r="J14" s="10">
        <f>C14-I14</f>
        <v/>
      </c>
      <c r="K14" s="10">
        <f>J14^2</f>
        <v/>
      </c>
      <c r="L14" s="10">
        <f>I14-$B$22</f>
        <v/>
      </c>
      <c r="M14" s="10">
        <f>L14^2</f>
        <v/>
      </c>
      <c r="N14" s="3" t="n"/>
      <c r="O14" s="3" t="n"/>
      <c r="P14" s="3" t="n"/>
    </row>
    <row r="15">
      <c r="A15" s="8" t="inlineStr">
        <is>
          <t>Pedro</t>
        </is>
      </c>
      <c r="B15" s="16" t="n">
        <v>1.92</v>
      </c>
      <c r="C15" s="17" t="n">
        <v>90</v>
      </c>
      <c r="D15" s="10">
        <f>B15-$B$21</f>
        <v/>
      </c>
      <c r="E15" s="10">
        <f>C15-$B$22</f>
        <v/>
      </c>
      <c r="F15" s="10">
        <f>D15*E15</f>
        <v/>
      </c>
      <c r="G15" s="10">
        <f>D15^2</f>
        <v/>
      </c>
      <c r="H15" s="10">
        <f>E15^2</f>
        <v/>
      </c>
      <c r="I15" s="10">
        <f>$B$29+$B$28*B15</f>
        <v/>
      </c>
      <c r="J15" s="10">
        <f>C15-I15</f>
        <v/>
      </c>
      <c r="K15" s="10">
        <f>J15^2</f>
        <v/>
      </c>
      <c r="L15" s="10">
        <f>I15-$B$22</f>
        <v/>
      </c>
      <c r="M15" s="10">
        <f>L15^2</f>
        <v/>
      </c>
      <c r="N15" s="3" t="n"/>
      <c r="O15" s="3" t="n"/>
      <c r="P15" s="3" t="n"/>
    </row>
    <row r="16">
      <c r="A16" s="8" t="inlineStr">
        <is>
          <t>Maria</t>
        </is>
      </c>
      <c r="B16" s="16" t="n">
        <v>1.61</v>
      </c>
      <c r="C16" s="17" t="n">
        <v>53</v>
      </c>
      <c r="D16" s="10">
        <f>B16-$B$21</f>
        <v/>
      </c>
      <c r="E16" s="10">
        <f>C16-$B$22</f>
        <v/>
      </c>
      <c r="F16" s="10">
        <f>D16*E16</f>
        <v/>
      </c>
      <c r="G16" s="10">
        <f>D16^2</f>
        <v/>
      </c>
      <c r="H16" s="10">
        <f>E16^2</f>
        <v/>
      </c>
      <c r="I16" s="10">
        <f>$B$29+$B$28*B16</f>
        <v/>
      </c>
      <c r="J16" s="10">
        <f>C16-I16</f>
        <v/>
      </c>
      <c r="K16" s="10">
        <f>J16^2</f>
        <v/>
      </c>
      <c r="L16" s="10">
        <f>I16-$B$22</f>
        <v/>
      </c>
      <c r="M16" s="10">
        <f>L16^2</f>
        <v/>
      </c>
      <c r="N16" s="3" t="n"/>
      <c r="O16" s="3" t="n"/>
      <c r="P16" s="3" t="n"/>
    </row>
    <row r="17">
      <c r="A17" s="8" t="inlineStr">
        <is>
          <t>Norma</t>
        </is>
      </c>
      <c r="B17" s="16" t="n">
        <v>1.8</v>
      </c>
      <c r="C17" s="17" t="n">
        <v>65</v>
      </c>
      <c r="D17" s="10">
        <f>B17-$B$21</f>
        <v/>
      </c>
      <c r="E17" s="10">
        <f>C17-$B$22</f>
        <v/>
      </c>
      <c r="F17" s="10">
        <f>D17*E17</f>
        <v/>
      </c>
      <c r="G17" s="10">
        <f>D17^2</f>
        <v/>
      </c>
      <c r="H17" s="10">
        <f>E17^2</f>
        <v/>
      </c>
      <c r="I17" s="10">
        <f>$B$29+$B$28*B17</f>
        <v/>
      </c>
      <c r="J17" s="10">
        <f>C17-I17</f>
        <v/>
      </c>
      <c r="K17" s="10">
        <f>J17^2</f>
        <v/>
      </c>
      <c r="L17" s="10">
        <f>I17-$B$22</f>
        <v/>
      </c>
      <c r="M17" s="10">
        <f>L17^2</f>
        <v/>
      </c>
      <c r="N17" s="3" t="n"/>
      <c r="O17" s="3" t="n"/>
      <c r="P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 ht="22" customHeight="1">
      <c r="A19" s="4" t="inlineStr">
        <is>
          <t>Resumo do calculo manual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8" t="inlineStr">
        <is>
          <t>n</t>
        </is>
      </c>
      <c r="B20" s="10">
        <f>COUNT(B10:B17)</f>
        <v/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8" t="inlineStr">
        <is>
          <t>media x</t>
        </is>
      </c>
      <c r="B21" s="10">
        <f>SUM(B10:B17)/B20</f>
        <v/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8" t="inlineStr">
        <is>
          <t>media y</t>
        </is>
      </c>
      <c r="B22" s="10">
        <f>SUM(C10:C17)/B20</f>
        <v/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8" t="inlineStr">
        <is>
          <t>SOMA dx*dy</t>
        </is>
      </c>
      <c r="B23" s="10">
        <f>SUM(F10:F17)</f>
        <v/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8" t="inlineStr">
        <is>
          <t>SOMA dx^2</t>
        </is>
      </c>
      <c r="B24" s="10">
        <f>SUM(G10:G17)</f>
        <v/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8" t="inlineStr">
        <is>
          <t>SQTot = SOMA dy^2</t>
        </is>
      </c>
      <c r="B25" s="10">
        <f>SUM(H10:H17)</f>
        <v/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8" t="inlineStr">
        <is>
          <t>r manual</t>
        </is>
      </c>
      <c r="B26" s="10">
        <f>B23/SQRT(B24*B25)</f>
        <v/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8" t="inlineStr">
        <is>
          <t>R2 manual = r^2</t>
        </is>
      </c>
      <c r="B27" s="10">
        <f>B26^2</f>
        <v/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8" t="inlineStr">
        <is>
          <t>b manual</t>
        </is>
      </c>
      <c r="B28" s="10">
        <f>B23/B24</f>
        <v/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8" t="inlineStr">
        <is>
          <t>a manual</t>
        </is>
      </c>
      <c r="B29" s="10">
        <f>B22-B28*B21</f>
        <v/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 ht="22" customHeight="1">
      <c r="A31" s="18" t="inlineStr">
        <is>
          <t>ANOVA da regressao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19" t="inlineStr">
        <is>
          <t>Fonte</t>
        </is>
      </c>
      <c r="B32" s="20" t="inlineStr">
        <is>
          <t>SQ</t>
        </is>
      </c>
      <c r="C32" s="20" t="inlineStr">
        <is>
          <t>gl</t>
        </is>
      </c>
      <c r="D32" s="20" t="inlineStr">
        <is>
          <t>QM</t>
        </is>
      </c>
      <c r="E32" s="20" t="inlineStr">
        <is>
          <t>F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8" t="inlineStr">
        <is>
          <t>Regressao</t>
        </is>
      </c>
      <c r="B33" s="10">
        <f>SUM(M10:M17)</f>
        <v/>
      </c>
      <c r="C33" s="10">
        <f>1</f>
        <v/>
      </c>
      <c r="D33" s="10">
        <f>B33/C33</f>
        <v/>
      </c>
      <c r="E33" s="10">
        <f>D33/D34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8" t="inlineStr">
        <is>
          <t>Residuos</t>
        </is>
      </c>
      <c r="B34" s="10">
        <f>SUM(K10:K17)</f>
        <v/>
      </c>
      <c r="C34" s="10">
        <f>B20-2</f>
        <v/>
      </c>
      <c r="D34" s="10">
        <f>B34/C34</f>
        <v/>
      </c>
      <c r="E34" s="9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8" t="inlineStr">
        <is>
          <t>Total</t>
        </is>
      </c>
      <c r="B35" s="10">
        <f>B33+B34</f>
        <v/>
      </c>
      <c r="C35" s="10">
        <f>B20-1</f>
        <v/>
      </c>
      <c r="D35" s="9" t="n"/>
      <c r="E35" s="9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8" t="inlineStr">
        <is>
          <t>Conferencia SQTot - (SQReg + SQRes)</t>
        </is>
      </c>
      <c r="B37" s="10">
        <f>B25-B35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8" t="inlineStr">
        <is>
          <t>R2 pela ANOVA</t>
        </is>
      </c>
      <c r="B38" s="10">
        <f>B33/B35</f>
        <v/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 ht="22" customHeight="1">
      <c r="A40" s="21" t="inlineStr">
        <is>
          <t>Validacao com LINEST completo do Google Planilhas</t>
        </is>
      </c>
      <c r="I40" s="3" t="n"/>
      <c r="J40" s="3" t="n"/>
      <c r="K40" s="3" t="n"/>
      <c r="L40" s="3" t="n"/>
      <c r="M40" s="3" t="n"/>
      <c r="N40" s="3" t="n"/>
      <c r="O40" s="3" t="n"/>
      <c r="P40" s="3" t="n"/>
    </row>
    <row r="41" ht="30" customHeight="1">
      <c r="A41" s="8" t="inlineStr">
        <is>
          <t>linha 1: b | a</t>
        </is>
      </c>
      <c r="B41" s="10">
        <f>LINEST(C10:C17,B10:B17,TRUE,TRUE)</f>
        <v/>
      </c>
      <c r="C41" s="10" t="n"/>
      <c r="D41" s="3">
        <f>LINEST(intervalo_y; intervalo_x; TRUE; TRUE)</f>
        <v/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 ht="30" customHeight="1">
      <c r="A42" s="8" t="inlineStr">
        <is>
          <t>linha 2: erro-padrao de b | erro-padrao de a</t>
        </is>
      </c>
      <c r="B42" s="10" t="n"/>
      <c r="C42" s="10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 ht="30" customHeight="1">
      <c r="A43" s="8" t="inlineStr">
        <is>
          <t>linha 3: R2 | erro-padrao da estimativa de y</t>
        </is>
      </c>
      <c r="B43" s="10" t="n"/>
      <c r="C43" s="10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 ht="30" customHeight="1">
      <c r="A44" s="8" t="inlineStr">
        <is>
          <t>linha 4: F | graus de liberdade</t>
        </is>
      </c>
      <c r="B44" s="10" t="n"/>
      <c r="C44" s="10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 ht="30" customHeight="1">
      <c r="A45" s="8" t="inlineStr">
        <is>
          <t>linha 5: SQReg | SQRes</t>
        </is>
      </c>
      <c r="B45" s="10" t="n"/>
      <c r="C45" s="10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 ht="22" customHeight="1">
      <c r="A47" s="15" t="inlineStr">
        <is>
          <t>Interpretacao critica</t>
        </is>
      </c>
    </row>
    <row r="48" ht="36" customHeight="1">
      <c r="A48" s="2" t="inlineStr">
        <is>
          <t>Todos os casos: r aproximado 0,403; R2 aproximado 0,162. A reta explica cerca de 16,2% da variacao do peso.</t>
        </is>
      </c>
    </row>
    <row r="49" ht="36" customHeight="1">
      <c r="A49" s="2" t="inlineStr">
        <is>
          <t>ANOVA: F aproximado 1,164. A variacao explicada pela regressao e pequena quando comparada a variacao residual.</t>
        </is>
      </c>
    </row>
    <row r="50" ht="36" customHeight="1">
      <c r="A50" s="2" t="inlineStr">
        <is>
          <t>Sem Silvio: r aproximado 0,903; R2 aproximado 0,815. A exclusao aumenta muito o ajuste, indicando forte efeito dessa observacao atipica/outlier.</t>
        </is>
      </c>
    </row>
    <row r="51" ht="36" customHeight="1">
      <c r="A51" s="2" t="inlineStr">
        <is>
          <t>A decisao de excluir Silvio exige justificativa substantiva; nao basta melhorar R2, F ou a aparencia da reta.</t>
        </is>
      </c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 ht="22" customHeight="1">
      <c r="A55" s="4" t="inlineStr">
        <is>
          <t>Comparacao manual sem Silvio</t>
        </is>
      </c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12" t="inlineStr">
        <is>
          <t>Caso</t>
        </is>
      </c>
      <c r="B57" s="13" t="inlineStr">
        <is>
          <t>x</t>
        </is>
      </c>
      <c r="C57" s="13" t="inlineStr">
        <is>
          <t>y</t>
        </is>
      </c>
      <c r="D57" s="13" t="inlineStr">
        <is>
          <t>dx</t>
        </is>
      </c>
      <c r="E57" s="13" t="inlineStr">
        <is>
          <t>dy</t>
        </is>
      </c>
      <c r="F57" s="13" t="inlineStr">
        <is>
          <t>dx*dy</t>
        </is>
      </c>
      <c r="G57" s="13" t="inlineStr">
        <is>
          <t>dx^2</t>
        </is>
      </c>
      <c r="H57" s="13" t="inlineStr">
        <is>
          <t>dy^2</t>
        </is>
      </c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22">
        <f>A10</f>
        <v/>
      </c>
      <c r="B58" s="10">
        <f>B10</f>
        <v/>
      </c>
      <c r="C58" s="10">
        <f>C10</f>
        <v/>
      </c>
      <c r="D58" s="10">
        <f>B58-$B$67</f>
        <v/>
      </c>
      <c r="E58" s="10">
        <f>C58-$B$68</f>
        <v/>
      </c>
      <c r="F58" s="10">
        <f>D58*E58</f>
        <v/>
      </c>
      <c r="G58" s="10">
        <f>D58^2</f>
        <v/>
      </c>
      <c r="H58" s="10">
        <f>E58^2</f>
        <v/>
      </c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22">
        <f>A11</f>
        <v/>
      </c>
      <c r="B59" s="10">
        <f>B11</f>
        <v/>
      </c>
      <c r="C59" s="10">
        <f>C11</f>
        <v/>
      </c>
      <c r="D59" s="10">
        <f>B59-$B$67</f>
        <v/>
      </c>
      <c r="E59" s="10">
        <f>C59-$B$68</f>
        <v/>
      </c>
      <c r="F59" s="10">
        <f>D59*E59</f>
        <v/>
      </c>
      <c r="G59" s="10">
        <f>D59^2</f>
        <v/>
      </c>
      <c r="H59" s="10">
        <f>E59^2</f>
        <v/>
      </c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22">
        <f>A12</f>
        <v/>
      </c>
      <c r="B60" s="10">
        <f>B12</f>
        <v/>
      </c>
      <c r="C60" s="10">
        <f>C12</f>
        <v/>
      </c>
      <c r="D60" s="10">
        <f>B60-$B$67</f>
        <v/>
      </c>
      <c r="E60" s="10">
        <f>C60-$B$68</f>
        <v/>
      </c>
      <c r="F60" s="10">
        <f>D60*E60</f>
        <v/>
      </c>
      <c r="G60" s="10">
        <f>D60^2</f>
        <v/>
      </c>
      <c r="H60" s="10">
        <f>E60^2</f>
        <v/>
      </c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22">
        <f>A13</f>
        <v/>
      </c>
      <c r="B61" s="10">
        <f>B13</f>
        <v/>
      </c>
      <c r="C61" s="10">
        <f>C13</f>
        <v/>
      </c>
      <c r="D61" s="10">
        <f>B61-$B$67</f>
        <v/>
      </c>
      <c r="E61" s="10">
        <f>C61-$B$68</f>
        <v/>
      </c>
      <c r="F61" s="10">
        <f>D61*E61</f>
        <v/>
      </c>
      <c r="G61" s="10">
        <f>D61^2</f>
        <v/>
      </c>
      <c r="H61" s="10">
        <f>E61^2</f>
        <v/>
      </c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22">
        <f>A15</f>
        <v/>
      </c>
      <c r="B62" s="10">
        <f>B15</f>
        <v/>
      </c>
      <c r="C62" s="10">
        <f>C15</f>
        <v/>
      </c>
      <c r="D62" s="10">
        <f>B62-$B$67</f>
        <v/>
      </c>
      <c r="E62" s="10">
        <f>C62-$B$68</f>
        <v/>
      </c>
      <c r="F62" s="10">
        <f>D62*E62</f>
        <v/>
      </c>
      <c r="G62" s="10">
        <f>D62^2</f>
        <v/>
      </c>
      <c r="H62" s="10">
        <f>E62^2</f>
        <v/>
      </c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22">
        <f>A16</f>
        <v/>
      </c>
      <c r="B63" s="10">
        <f>B16</f>
        <v/>
      </c>
      <c r="C63" s="10">
        <f>C16</f>
        <v/>
      </c>
      <c r="D63" s="10">
        <f>B63-$B$67</f>
        <v/>
      </c>
      <c r="E63" s="10">
        <f>C63-$B$68</f>
        <v/>
      </c>
      <c r="F63" s="10">
        <f>D63*E63</f>
        <v/>
      </c>
      <c r="G63" s="10">
        <f>D63^2</f>
        <v/>
      </c>
      <c r="H63" s="10">
        <f>E63^2</f>
        <v/>
      </c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22">
        <f>A17</f>
        <v/>
      </c>
      <c r="B64" s="10">
        <f>B17</f>
        <v/>
      </c>
      <c r="C64" s="10">
        <f>C17</f>
        <v/>
      </c>
      <c r="D64" s="10">
        <f>B64-$B$67</f>
        <v/>
      </c>
      <c r="E64" s="10">
        <f>C64-$B$68</f>
        <v/>
      </c>
      <c r="F64" s="10">
        <f>D64*E64</f>
        <v/>
      </c>
      <c r="G64" s="10">
        <f>D64^2</f>
        <v/>
      </c>
      <c r="H64" s="10">
        <f>E64^2</f>
        <v/>
      </c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8" t="inlineStr">
        <is>
          <t>n sem Silvio</t>
        </is>
      </c>
      <c r="B66" s="10">
        <f>COUNT(B58:B64)</f>
        <v/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8" t="inlineStr">
        <is>
          <t>media x</t>
        </is>
      </c>
      <c r="B67" s="10">
        <f>SUM(B58:B64)/B66</f>
        <v/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8" t="inlineStr">
        <is>
          <t>media y</t>
        </is>
      </c>
      <c r="B68" s="10">
        <f>SUM(C58:C64)/B66</f>
        <v/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8" t="inlineStr">
        <is>
          <t>r</t>
        </is>
      </c>
      <c r="B69" s="10">
        <f>B70/SQRT(B71*B72)</f>
        <v/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A70" s="8" t="inlineStr">
        <is>
          <t>SOMA dx*dy</t>
        </is>
      </c>
      <c r="B70" s="10">
        <f>SUM(F58:F64)</f>
        <v/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8" t="inlineStr">
        <is>
          <t>SOMA dx^2</t>
        </is>
      </c>
      <c r="B71" s="10">
        <f>SUM(G58:G64)</f>
        <v/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8" t="inlineStr">
        <is>
          <t>SOMA dy^2</t>
        </is>
      </c>
      <c r="B72" s="10">
        <f>SUM(H58:H64)</f>
        <v/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A73" s="8" t="inlineStr">
        <is>
          <t>b</t>
        </is>
      </c>
      <c r="B73" s="10">
        <f>B70/B71</f>
        <v/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8" t="inlineStr">
        <is>
          <t>a</t>
        </is>
      </c>
      <c r="B74" s="10">
        <f>B68-B73*B67</f>
        <v/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A75" s="8" t="inlineStr">
        <is>
          <t>R2</t>
        </is>
      </c>
      <c r="B75" s="10">
        <f>B69^2</f>
        <v/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</sheetData>
  <mergeCells count="17">
    <mergeCell ref="A49:P49"/>
    <mergeCell ref="A51:P51"/>
    <mergeCell ref="A47:P47"/>
    <mergeCell ref="A5:P5"/>
    <mergeCell ref="A55:H55"/>
    <mergeCell ref="A19:F19"/>
    <mergeCell ref="A1:P1"/>
    <mergeCell ref="A2:P2"/>
    <mergeCell ref="A8:P8"/>
    <mergeCell ref="A6:P6"/>
    <mergeCell ref="A31:F31"/>
    <mergeCell ref="A50:P50"/>
    <mergeCell ref="A4:P4"/>
    <mergeCell ref="A48:P48"/>
    <mergeCell ref="A3:P3"/>
    <mergeCell ref="A7:P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6" customWidth="1" min="13" max="13"/>
    <col width="15" customWidth="1" min="14" max="14"/>
    <col width="15" customWidth="1" min="15" max="15"/>
    <col width="15" customWidth="1" min="16" max="16"/>
  </cols>
  <sheetData>
    <row r="1" ht="25" customHeight="1">
      <c r="A1" s="1" t="inlineStr">
        <is>
          <t>Ex 2 - Alunos e professores</t>
        </is>
      </c>
    </row>
    <row r="2" ht="180" customHeight="1">
      <c r="A2" s="15" t="inlineStr">
        <is>
          <t>Os dados a seguir relacionam o numero de alunos e o numero de professores em instituicoes de ensino superior.
Variaveis observadas:
- nome da instituicao;
- numero de alunos;
- numero de professores.
Calcule e interprete:
a) a correlacao linear entre numero de alunos e numero de professores;
b) a reta de regressao para explicar o numero de professores pelo numero de alunos;
c) o coeficiente de determinacao R2;
d) a decomposicao da variacao em SQReg, SQRes e SQTot;
e) a ANOVA da regressao, incluindo gl, QM e F;
f) a existencia de instituicoes com residuos altos ou comportamento atipico/outlier;
g) os limites da interpretacao: associacao nao implica causalidade.</t>
        </is>
      </c>
    </row>
    <row r="3" ht="22" customHeight="1">
      <c r="A3" s="15" t="inlineStr">
        <is>
          <t>Observacao inicial e perguntas orientadoras</t>
        </is>
      </c>
    </row>
    <row r="4" ht="54" customHeight="1">
      <c r="A4" s="2" t="inlineStr">
        <is>
          <t>Qual e a variavel explicativa? x = numero de alunos.
A escolha de x faz sentido substantivo? A regressao deve ser lida como previsao do numero de professores a partir do porte da instituicao, nao como prova causal.</t>
        </is>
      </c>
    </row>
    <row r="5" ht="54" customHeight="1">
      <c r="A5" s="2" t="inlineStr">
        <is>
          <t>Qual e a variavel resposta? y = numero de professores.
O que significa prever professores neste contexto? A unidade de b deve ser interpretada por aluno ou por blocos de 1000 alunos para fazer sentido didatico?</t>
        </is>
      </c>
    </row>
    <row r="6" ht="66" customHeight="1">
      <c r="A6" s="2" t="inlineStr">
        <is>
          <t>A relacao parece aproximadamente linear?
Compare o grafico com r, b e R2. R2 indica a proporcao da variacao de professores explicada pela reta; ele nao prova que alunos causam contratacao de professores.</t>
        </is>
      </c>
    </row>
    <row r="7" ht="90" customHeight="1">
      <c r="A7" s="2" t="inlineStr">
        <is>
          <t>Ha instituicoes com comportamento atipico/outlier?
Use residuos, SQReg, SQRes, SQTot e R2 para avaliar o ajuste. Na ANOVA, identifique gl, QM e F: a variacao explicada pela regressao e grande em relacao a variacao residual? Quais instituicoes merecem leitura critica antes de aceitar a reta como resumo do conjunto?</t>
        </is>
      </c>
    </row>
    <row r="8" ht="22" customHeight="1">
      <c r="A8" s="4" t="inlineStr">
        <is>
          <t>Dados e calculo manual por somatorios</t>
        </is>
      </c>
    </row>
    <row r="9">
      <c r="A9" s="12" t="inlineStr">
        <is>
          <t>Caso</t>
        </is>
      </c>
      <c r="B9" s="13" t="inlineStr">
        <is>
          <t>x = alunos</t>
        </is>
      </c>
      <c r="C9" s="13" t="inlineStr">
        <is>
          <t>y = professores</t>
        </is>
      </c>
      <c r="D9" s="13" t="inlineStr">
        <is>
          <t>dx</t>
        </is>
      </c>
      <c r="E9" s="13" t="inlineStr">
        <is>
          <t>dy</t>
        </is>
      </c>
      <c r="F9" s="13" t="inlineStr">
        <is>
          <t>dx*dy</t>
        </is>
      </c>
      <c r="G9" s="13" t="inlineStr">
        <is>
          <t>dx^2</t>
        </is>
      </c>
      <c r="H9" s="13" t="inlineStr">
        <is>
          <t>dy^2 / SQTot</t>
        </is>
      </c>
      <c r="I9" s="13" t="inlineStr">
        <is>
          <t>y_chapeu</t>
        </is>
      </c>
      <c r="J9" s="13" t="inlineStr">
        <is>
          <t>residuo</t>
        </is>
      </c>
      <c r="K9" s="13" t="inlineStr">
        <is>
          <t>residuo^2 / SQRes</t>
        </is>
      </c>
      <c r="L9" s="13" t="inlineStr">
        <is>
          <t>y_chapeu-y_barra</t>
        </is>
      </c>
      <c r="M9" s="13" t="inlineStr">
        <is>
          <t>SQReg parcela</t>
        </is>
      </c>
      <c r="N9" s="3" t="n"/>
      <c r="O9" s="3" t="n"/>
      <c r="P9" s="3" t="n"/>
    </row>
    <row r="10">
      <c r="A10" s="8" t="inlineStr">
        <is>
          <t>PUC de Minas Gerais</t>
        </is>
      </c>
      <c r="B10" s="23" t="n">
        <v>13147</v>
      </c>
      <c r="C10" s="23" t="n">
        <v>713</v>
      </c>
      <c r="D10" s="10">
        <f>B10-$B$44</f>
        <v/>
      </c>
      <c r="E10" s="10">
        <f>C10-$B$45</f>
        <v/>
      </c>
      <c r="F10" s="10">
        <f>D10*E10</f>
        <v/>
      </c>
      <c r="G10" s="10">
        <f>D10^2</f>
        <v/>
      </c>
      <c r="H10" s="10">
        <f>E10^2</f>
        <v/>
      </c>
      <c r="I10" s="10">
        <f>$B$52+$B$51*B10</f>
        <v/>
      </c>
      <c r="J10" s="10">
        <f>C10-I10</f>
        <v/>
      </c>
      <c r="K10" s="10">
        <f>J10^2</f>
        <v/>
      </c>
      <c r="L10" s="10">
        <f>I10-$B$45</f>
        <v/>
      </c>
      <c r="M10" s="10">
        <f>L10^2</f>
        <v/>
      </c>
      <c r="N10" s="3" t="n"/>
      <c r="O10" s="3" t="n"/>
      <c r="P10" s="3" t="n"/>
    </row>
    <row r="11">
      <c r="A11" s="8" t="inlineStr">
        <is>
          <t>Federal de Juiz de Fora</t>
        </is>
      </c>
      <c r="B11" s="23" t="n">
        <v>6606</v>
      </c>
      <c r="C11" s="23" t="n">
        <v>781</v>
      </c>
      <c r="D11" s="10">
        <f>B11-$B$44</f>
        <v/>
      </c>
      <c r="E11" s="10">
        <f>C11-$B$45</f>
        <v/>
      </c>
      <c r="F11" s="10">
        <f>D11*E11</f>
        <v/>
      </c>
      <c r="G11" s="10">
        <f>D11^2</f>
        <v/>
      </c>
      <c r="H11" s="10">
        <f>E11^2</f>
        <v/>
      </c>
      <c r="I11" s="10">
        <f>$B$52+$B$51*B11</f>
        <v/>
      </c>
      <c r="J11" s="10">
        <f>C11-I11</f>
        <v/>
      </c>
      <c r="K11" s="10">
        <f>J11^2</f>
        <v/>
      </c>
      <c r="L11" s="10">
        <f>I11-$B$45</f>
        <v/>
      </c>
      <c r="M11" s="10">
        <f>L11^2</f>
        <v/>
      </c>
      <c r="N11" s="3" t="n"/>
      <c r="O11" s="3" t="n"/>
      <c r="P11" s="3" t="n"/>
    </row>
    <row r="12">
      <c r="A12" s="8" t="inlineStr">
        <is>
          <t>Federal de Minas Gerais</t>
        </is>
      </c>
      <c r="B12" s="23" t="n">
        <v>23759</v>
      </c>
      <c r="C12" s="23" t="n">
        <v>2194</v>
      </c>
      <c r="D12" s="10">
        <f>B12-$B$44</f>
        <v/>
      </c>
      <c r="E12" s="10">
        <f>C12-$B$45</f>
        <v/>
      </c>
      <c r="F12" s="10">
        <f>D12*E12</f>
        <v/>
      </c>
      <c r="G12" s="10">
        <f>D12^2</f>
        <v/>
      </c>
      <c r="H12" s="10">
        <f>E12^2</f>
        <v/>
      </c>
      <c r="I12" s="10">
        <f>$B$52+$B$51*B12</f>
        <v/>
      </c>
      <c r="J12" s="10">
        <f>C12-I12</f>
        <v/>
      </c>
      <c r="K12" s="10">
        <f>J12^2</f>
        <v/>
      </c>
      <c r="L12" s="10">
        <f>I12-$B$45</f>
        <v/>
      </c>
      <c r="M12" s="10">
        <f>L12^2</f>
        <v/>
      </c>
      <c r="N12" s="3" t="n"/>
      <c r="O12" s="3" t="n"/>
      <c r="P12" s="3" t="n"/>
    </row>
    <row r="13">
      <c r="A13" s="8" t="inlineStr">
        <is>
          <t>Federal de Ouro Preto</t>
        </is>
      </c>
      <c r="B13" s="23" t="n">
        <v>1106</v>
      </c>
      <c r="C13" s="23" t="n">
        <v>178</v>
      </c>
      <c r="D13" s="10">
        <f>B13-$B$44</f>
        <v/>
      </c>
      <c r="E13" s="10">
        <f>C13-$B$45</f>
        <v/>
      </c>
      <c r="F13" s="10">
        <f>D13*E13</f>
        <v/>
      </c>
      <c r="G13" s="10">
        <f>D13^2</f>
        <v/>
      </c>
      <c r="H13" s="10">
        <f>E13^2</f>
        <v/>
      </c>
      <c r="I13" s="10">
        <f>$B$52+$B$51*B13</f>
        <v/>
      </c>
      <c r="J13" s="10">
        <f>C13-I13</f>
        <v/>
      </c>
      <c r="K13" s="10">
        <f>J13^2</f>
        <v/>
      </c>
      <c r="L13" s="10">
        <f>I13-$B$45</f>
        <v/>
      </c>
      <c r="M13" s="10">
        <f>L13^2</f>
        <v/>
      </c>
      <c r="N13" s="3" t="n"/>
      <c r="O13" s="3" t="n"/>
      <c r="P13" s="3" t="n"/>
    </row>
    <row r="14">
      <c r="A14" s="8" t="inlineStr">
        <is>
          <t>Federal de Uberlandia</t>
        </is>
      </c>
      <c r="B14" s="23" t="n">
        <v>6651</v>
      </c>
      <c r="C14" s="23" t="n">
        <v>765</v>
      </c>
      <c r="D14" s="10">
        <f>B14-$B$44</f>
        <v/>
      </c>
      <c r="E14" s="10">
        <f>C14-$B$45</f>
        <v/>
      </c>
      <c r="F14" s="10">
        <f>D14*E14</f>
        <v/>
      </c>
      <c r="G14" s="10">
        <f>D14^2</f>
        <v/>
      </c>
      <c r="H14" s="10">
        <f>E14^2</f>
        <v/>
      </c>
      <c r="I14" s="10">
        <f>$B$52+$B$51*B14</f>
        <v/>
      </c>
      <c r="J14" s="10">
        <f>C14-I14</f>
        <v/>
      </c>
      <c r="K14" s="10">
        <f>J14^2</f>
        <v/>
      </c>
      <c r="L14" s="10">
        <f>I14-$B$45</f>
        <v/>
      </c>
      <c r="M14" s="10">
        <f>L14^2</f>
        <v/>
      </c>
      <c r="N14" s="3" t="n"/>
      <c r="O14" s="3" t="n"/>
      <c r="P14" s="3" t="n"/>
    </row>
    <row r="15">
      <c r="A15" s="8" t="inlineStr">
        <is>
          <t>Federal de Vicosa</t>
        </is>
      </c>
      <c r="B15" s="23" t="n">
        <v>5842</v>
      </c>
      <c r="C15" s="23" t="n">
        <v>667</v>
      </c>
      <c r="D15" s="10">
        <f>B15-$B$44</f>
        <v/>
      </c>
      <c r="E15" s="10">
        <f>C15-$B$45</f>
        <v/>
      </c>
      <c r="F15" s="10">
        <f>D15*E15</f>
        <v/>
      </c>
      <c r="G15" s="10">
        <f>D15^2</f>
        <v/>
      </c>
      <c r="H15" s="10">
        <f>E15^2</f>
        <v/>
      </c>
      <c r="I15" s="10">
        <f>$B$52+$B$51*B15</f>
        <v/>
      </c>
      <c r="J15" s="10">
        <f>C15-I15</f>
        <v/>
      </c>
      <c r="K15" s="10">
        <f>J15^2</f>
        <v/>
      </c>
      <c r="L15" s="10">
        <f>I15-$B$45</f>
        <v/>
      </c>
      <c r="M15" s="10">
        <f>L15^2</f>
        <v/>
      </c>
      <c r="N15" s="3" t="n"/>
      <c r="O15" s="3" t="n"/>
      <c r="P15" s="3" t="n"/>
    </row>
    <row r="16">
      <c r="A16" s="8" t="inlineStr">
        <is>
          <t>PUC do Rio Grande do Sul</t>
        </is>
      </c>
      <c r="B16" s="23" t="n">
        <v>23045</v>
      </c>
      <c r="C16" s="23" t="n">
        <v>1459</v>
      </c>
      <c r="D16" s="10">
        <f>B16-$B$44</f>
        <v/>
      </c>
      <c r="E16" s="10">
        <f>C16-$B$45</f>
        <v/>
      </c>
      <c r="F16" s="10">
        <f>D16*E16</f>
        <v/>
      </c>
      <c r="G16" s="10">
        <f>D16^2</f>
        <v/>
      </c>
      <c r="H16" s="10">
        <f>E16^2</f>
        <v/>
      </c>
      <c r="I16" s="10">
        <f>$B$52+$B$51*B16</f>
        <v/>
      </c>
      <c r="J16" s="10">
        <f>C16-I16</f>
        <v/>
      </c>
      <c r="K16" s="10">
        <f>J16^2</f>
        <v/>
      </c>
      <c r="L16" s="10">
        <f>I16-$B$45</f>
        <v/>
      </c>
      <c r="M16" s="10">
        <f>L16^2</f>
        <v/>
      </c>
      <c r="N16" s="3" t="n"/>
      <c r="O16" s="3" t="n"/>
      <c r="P16" s="3" t="n"/>
    </row>
    <row r="17">
      <c r="A17" s="8" t="inlineStr">
        <is>
          <t>Catolica de Pelotas</t>
        </is>
      </c>
      <c r="B17" s="23" t="n">
        <v>5711</v>
      </c>
      <c r="C17" s="23" t="n">
        <v>381</v>
      </c>
      <c r="D17" s="10">
        <f>B17-$B$44</f>
        <v/>
      </c>
      <c r="E17" s="10">
        <f>C17-$B$45</f>
        <v/>
      </c>
      <c r="F17" s="10">
        <f>D17*E17</f>
        <v/>
      </c>
      <c r="G17" s="10">
        <f>D17^2</f>
        <v/>
      </c>
      <c r="H17" s="10">
        <f>E17^2</f>
        <v/>
      </c>
      <c r="I17" s="10">
        <f>$B$52+$B$51*B17</f>
        <v/>
      </c>
      <c r="J17" s="10">
        <f>C17-I17</f>
        <v/>
      </c>
      <c r="K17" s="10">
        <f>J17^2</f>
        <v/>
      </c>
      <c r="L17" s="10">
        <f>I17-$B$45</f>
        <v/>
      </c>
      <c r="M17" s="10">
        <f>L17^2</f>
        <v/>
      </c>
      <c r="N17" s="3" t="n"/>
      <c r="O17" s="3" t="n"/>
      <c r="P17" s="3" t="n"/>
    </row>
    <row r="18">
      <c r="A18" s="8" t="inlineStr">
        <is>
          <t>Univ. de Caxias do Sul</t>
        </is>
      </c>
      <c r="B18" s="23" t="n">
        <v>9196</v>
      </c>
      <c r="C18" s="23" t="n">
        <v>497</v>
      </c>
      <c r="D18" s="10">
        <f>B18-$B$44</f>
        <v/>
      </c>
      <c r="E18" s="10">
        <f>C18-$B$45</f>
        <v/>
      </c>
      <c r="F18" s="10">
        <f>D18*E18</f>
        <v/>
      </c>
      <c r="G18" s="10">
        <f>D18^2</f>
        <v/>
      </c>
      <c r="H18" s="10">
        <f>E18^2</f>
        <v/>
      </c>
      <c r="I18" s="10">
        <f>$B$52+$B$51*B18</f>
        <v/>
      </c>
      <c r="J18" s="10">
        <f>C18-I18</f>
        <v/>
      </c>
      <c r="K18" s="10">
        <f>J18^2</f>
        <v/>
      </c>
      <c r="L18" s="10">
        <f>I18-$B$45</f>
        <v/>
      </c>
      <c r="M18" s="10">
        <f>L18^2</f>
        <v/>
      </c>
      <c r="N18" s="3" t="n"/>
      <c r="O18" s="3" t="n"/>
      <c r="P18" s="3" t="n"/>
    </row>
    <row r="19">
      <c r="A19" s="8" t="inlineStr">
        <is>
          <t>Federal de Pelotas</t>
        </is>
      </c>
      <c r="B19" s="23" t="n">
        <v>4877</v>
      </c>
      <c r="C19" s="23" t="n">
        <v>903</v>
      </c>
      <c r="D19" s="10">
        <f>B19-$B$44</f>
        <v/>
      </c>
      <c r="E19" s="10">
        <f>C19-$B$45</f>
        <v/>
      </c>
      <c r="F19" s="10">
        <f>D19*E19</f>
        <v/>
      </c>
      <c r="G19" s="10">
        <f>D19^2</f>
        <v/>
      </c>
      <c r="H19" s="10">
        <f>E19^2</f>
        <v/>
      </c>
      <c r="I19" s="10">
        <f>$B$52+$B$51*B19</f>
        <v/>
      </c>
      <c r="J19" s="10">
        <f>C19-I19</f>
        <v/>
      </c>
      <c r="K19" s="10">
        <f>J19^2</f>
        <v/>
      </c>
      <c r="L19" s="10">
        <f>I19-$B$45</f>
        <v/>
      </c>
      <c r="M19" s="10">
        <f>L19^2</f>
        <v/>
      </c>
      <c r="N19" s="3" t="n"/>
      <c r="O19" s="3" t="n"/>
      <c r="P19" s="3" t="n"/>
    </row>
    <row r="20">
      <c r="A20" s="8" t="inlineStr">
        <is>
          <t>Federal do Rio Gde. do Sul</t>
        </is>
      </c>
      <c r="B20" s="23" t="n">
        <v>16985</v>
      </c>
      <c r="C20" s="23" t="n">
        <v>2451</v>
      </c>
      <c r="D20" s="10">
        <f>B20-$B$44</f>
        <v/>
      </c>
      <c r="E20" s="10">
        <f>C20-$B$45</f>
        <v/>
      </c>
      <c r="F20" s="10">
        <f>D20*E20</f>
        <v/>
      </c>
      <c r="G20" s="10">
        <f>D20^2</f>
        <v/>
      </c>
      <c r="H20" s="10">
        <f>E20^2</f>
        <v/>
      </c>
      <c r="I20" s="10">
        <f>$B$52+$B$51*B20</f>
        <v/>
      </c>
      <c r="J20" s="10">
        <f>C20-I20</f>
        <v/>
      </c>
      <c r="K20" s="10">
        <f>J20^2</f>
        <v/>
      </c>
      <c r="L20" s="10">
        <f>I20-$B$45</f>
        <v/>
      </c>
      <c r="M20" s="10">
        <f>L20^2</f>
        <v/>
      </c>
      <c r="N20" s="3" t="n"/>
      <c r="O20" s="3" t="n"/>
      <c r="P20" s="3" t="n"/>
    </row>
    <row r="21">
      <c r="A21" s="8" t="inlineStr">
        <is>
          <t>Federal de Santa Maria</t>
        </is>
      </c>
      <c r="B21" s="23" t="n">
        <v>9693</v>
      </c>
      <c r="C21" s="23" t="n">
        <v>1362</v>
      </c>
      <c r="D21" s="10">
        <f>B21-$B$44</f>
        <v/>
      </c>
      <c r="E21" s="10">
        <f>C21-$B$45</f>
        <v/>
      </c>
      <c r="F21" s="10">
        <f>D21*E21</f>
        <v/>
      </c>
      <c r="G21" s="10">
        <f>D21^2</f>
        <v/>
      </c>
      <c r="H21" s="10">
        <f>E21^2</f>
        <v/>
      </c>
      <c r="I21" s="10">
        <f>$B$52+$B$51*B21</f>
        <v/>
      </c>
      <c r="J21" s="10">
        <f>C21-I21</f>
        <v/>
      </c>
      <c r="K21" s="10">
        <f>J21^2</f>
        <v/>
      </c>
      <c r="L21" s="10">
        <f>I21-$B$45</f>
        <v/>
      </c>
      <c r="M21" s="10">
        <f>L21^2</f>
        <v/>
      </c>
      <c r="N21" s="3" t="n"/>
      <c r="O21" s="3" t="n"/>
      <c r="P21" s="3" t="n"/>
    </row>
    <row r="22">
      <c r="A22" s="8" t="inlineStr">
        <is>
          <t>Univ. de Passo Fundo</t>
        </is>
      </c>
      <c r="B22" s="23" t="n">
        <v>7450</v>
      </c>
      <c r="C22" s="23" t="n">
        <v>530</v>
      </c>
      <c r="D22" s="10">
        <f>B22-$B$44</f>
        <v/>
      </c>
      <c r="E22" s="10">
        <f>C22-$B$45</f>
        <v/>
      </c>
      <c r="F22" s="10">
        <f>D22*E22</f>
        <v/>
      </c>
      <c r="G22" s="10">
        <f>D22^2</f>
        <v/>
      </c>
      <c r="H22" s="10">
        <f>E22^2</f>
        <v/>
      </c>
      <c r="I22" s="10">
        <f>$B$52+$B$51*B22</f>
        <v/>
      </c>
      <c r="J22" s="10">
        <f>C22-I22</f>
        <v/>
      </c>
      <c r="K22" s="10">
        <f>J22^2</f>
        <v/>
      </c>
      <c r="L22" s="10">
        <f>I22-$B$45</f>
        <v/>
      </c>
      <c r="M22" s="10">
        <f>L22^2</f>
        <v/>
      </c>
      <c r="N22" s="3" t="n"/>
      <c r="O22" s="3" t="n"/>
      <c r="P22" s="3" t="n"/>
    </row>
    <row r="23">
      <c r="A23" s="8" t="inlineStr">
        <is>
          <t>Univ. do Rio Grande</t>
        </is>
      </c>
      <c r="B23" s="23" t="n">
        <v>3476</v>
      </c>
      <c r="C23" s="23" t="n">
        <v>490</v>
      </c>
      <c r="D23" s="10">
        <f>B23-$B$44</f>
        <v/>
      </c>
      <c r="E23" s="10">
        <f>C23-$B$45</f>
        <v/>
      </c>
      <c r="F23" s="10">
        <f>D23*E23</f>
        <v/>
      </c>
      <c r="G23" s="10">
        <f>D23^2</f>
        <v/>
      </c>
      <c r="H23" s="10">
        <f>E23^2</f>
        <v/>
      </c>
      <c r="I23" s="10">
        <f>$B$52+$B$51*B23</f>
        <v/>
      </c>
      <c r="J23" s="10">
        <f>C23-I23</f>
        <v/>
      </c>
      <c r="K23" s="10">
        <f>J23^2</f>
        <v/>
      </c>
      <c r="L23" s="10">
        <f>I23-$B$45</f>
        <v/>
      </c>
      <c r="M23" s="10">
        <f>L23^2</f>
        <v/>
      </c>
      <c r="N23" s="3" t="n"/>
      <c r="O23" s="3" t="n"/>
      <c r="P23" s="3" t="n"/>
    </row>
    <row r="24">
      <c r="A24" s="8" t="inlineStr">
        <is>
          <t>Univ. do Vale do Rio dos Sinos</t>
        </is>
      </c>
      <c r="B24" s="23" t="n">
        <v>21000</v>
      </c>
      <c r="C24" s="23" t="n">
        <v>650</v>
      </c>
      <c r="D24" s="10">
        <f>B24-$B$44</f>
        <v/>
      </c>
      <c r="E24" s="10">
        <f>C24-$B$45</f>
        <v/>
      </c>
      <c r="F24" s="10">
        <f>D24*E24</f>
        <v/>
      </c>
      <c r="G24" s="10">
        <f>D24^2</f>
        <v/>
      </c>
      <c r="H24" s="10">
        <f>E24^2</f>
        <v/>
      </c>
      <c r="I24" s="10">
        <f>$B$52+$B$51*B24</f>
        <v/>
      </c>
      <c r="J24" s="10">
        <f>C24-I24</f>
        <v/>
      </c>
      <c r="K24" s="10">
        <f>J24^2</f>
        <v/>
      </c>
      <c r="L24" s="10">
        <f>I24-$B$45</f>
        <v/>
      </c>
      <c r="M24" s="10">
        <f>L24^2</f>
        <v/>
      </c>
      <c r="N24" s="3" t="n"/>
      <c r="O24" s="3" t="n"/>
      <c r="P24" s="3" t="n"/>
    </row>
    <row r="25">
      <c r="A25" s="8" t="inlineStr">
        <is>
          <t>PUC do Rio de Janeiro</t>
        </is>
      </c>
      <c r="B25" s="23" t="n">
        <v>8232</v>
      </c>
      <c r="C25" s="23" t="n">
        <v>788</v>
      </c>
      <c r="D25" s="10">
        <f>B25-$B$44</f>
        <v/>
      </c>
      <c r="E25" s="10">
        <f>C25-$B$45</f>
        <v/>
      </c>
      <c r="F25" s="10">
        <f>D25*E25</f>
        <v/>
      </c>
      <c r="G25" s="10">
        <f>D25^2</f>
        <v/>
      </c>
      <c r="H25" s="10">
        <f>E25^2</f>
        <v/>
      </c>
      <c r="I25" s="10">
        <f>$B$52+$B$51*B25</f>
        <v/>
      </c>
      <c r="J25" s="10">
        <f>C25-I25</f>
        <v/>
      </c>
      <c r="K25" s="10">
        <f>J25^2</f>
        <v/>
      </c>
      <c r="L25" s="10">
        <f>I25-$B$45</f>
        <v/>
      </c>
      <c r="M25" s="10">
        <f>L25^2</f>
        <v/>
      </c>
      <c r="N25" s="3" t="n"/>
      <c r="O25" s="3" t="n"/>
      <c r="P25" s="3" t="n"/>
    </row>
    <row r="26">
      <c r="A26" s="8" t="inlineStr">
        <is>
          <t>Catolica de Petropolis</t>
        </is>
      </c>
      <c r="B26" s="23" t="n">
        <v>4200</v>
      </c>
      <c r="C26" s="23" t="n">
        <v>298</v>
      </c>
      <c r="D26" s="10">
        <f>B26-$B$44</f>
        <v/>
      </c>
      <c r="E26" s="10">
        <f>C26-$B$45</f>
        <v/>
      </c>
      <c r="F26" s="10">
        <f>D26*E26</f>
        <v/>
      </c>
      <c r="G26" s="10">
        <f>D26^2</f>
        <v/>
      </c>
      <c r="H26" s="10">
        <f>E26^2</f>
        <v/>
      </c>
      <c r="I26" s="10">
        <f>$B$52+$B$51*B26</f>
        <v/>
      </c>
      <c r="J26" s="10">
        <f>C26-I26</f>
        <v/>
      </c>
      <c r="K26" s="10">
        <f>J26^2</f>
        <v/>
      </c>
      <c r="L26" s="10">
        <f>I26-$B$45</f>
        <v/>
      </c>
      <c r="M26" s="10">
        <f>L26^2</f>
        <v/>
      </c>
      <c r="N26" s="3" t="n"/>
      <c r="O26" s="3" t="n"/>
      <c r="P26" s="3" t="n"/>
    </row>
    <row r="27">
      <c r="A27" s="8" t="inlineStr">
        <is>
          <t>Estadual do Rio de Janeiro</t>
        </is>
      </c>
      <c r="B27" s="23" t="n">
        <v>11000</v>
      </c>
      <c r="C27" s="23" t="n">
        <v>1750</v>
      </c>
      <c r="D27" s="10">
        <f>B27-$B$44</f>
        <v/>
      </c>
      <c r="E27" s="10">
        <f>C27-$B$45</f>
        <v/>
      </c>
      <c r="F27" s="10">
        <f>D27*E27</f>
        <v/>
      </c>
      <c r="G27" s="10">
        <f>D27^2</f>
        <v/>
      </c>
      <c r="H27" s="10">
        <f>E27^2</f>
        <v/>
      </c>
      <c r="I27" s="10">
        <f>$B$52+$B$51*B27</f>
        <v/>
      </c>
      <c r="J27" s="10">
        <f>C27-I27</f>
        <v/>
      </c>
      <c r="K27" s="10">
        <f>J27^2</f>
        <v/>
      </c>
      <c r="L27" s="10">
        <f>I27-$B$45</f>
        <v/>
      </c>
      <c r="M27" s="10">
        <f>L27^2</f>
        <v/>
      </c>
      <c r="N27" s="3" t="n"/>
      <c r="O27" s="3" t="n"/>
      <c r="P27" s="3" t="n"/>
    </row>
    <row r="28">
      <c r="A28" s="8" t="inlineStr">
        <is>
          <t>Federal Fluminense</t>
        </is>
      </c>
      <c r="B28" s="23" t="n">
        <v>24775</v>
      </c>
      <c r="C28" s="23" t="n">
        <v>2415</v>
      </c>
      <c r="D28" s="10">
        <f>B28-$B$44</f>
        <v/>
      </c>
      <c r="E28" s="10">
        <f>C28-$B$45</f>
        <v/>
      </c>
      <c r="F28" s="10">
        <f>D28*E28</f>
        <v/>
      </c>
      <c r="G28" s="10">
        <f>D28^2</f>
        <v/>
      </c>
      <c r="H28" s="10">
        <f>E28^2</f>
        <v/>
      </c>
      <c r="I28" s="10">
        <f>$B$52+$B$51*B28</f>
        <v/>
      </c>
      <c r="J28" s="10">
        <f>C28-I28</f>
        <v/>
      </c>
      <c r="K28" s="10">
        <f>J28^2</f>
        <v/>
      </c>
      <c r="L28" s="10">
        <f>I28-$B$45</f>
        <v/>
      </c>
      <c r="M28" s="10">
        <f>L28^2</f>
        <v/>
      </c>
      <c r="N28" s="3" t="n"/>
      <c r="O28" s="3" t="n"/>
      <c r="P28" s="3" t="n"/>
    </row>
    <row r="29">
      <c r="A29" s="8" t="inlineStr">
        <is>
          <t>Federal do Rio de Janeiro</t>
        </is>
      </c>
      <c r="B29" s="23" t="n">
        <v>30000</v>
      </c>
      <c r="C29" s="23" t="n">
        <v>3580</v>
      </c>
      <c r="D29" s="10">
        <f>B29-$B$44</f>
        <v/>
      </c>
      <c r="E29" s="10">
        <f>C29-$B$45</f>
        <v/>
      </c>
      <c r="F29" s="10">
        <f>D29*E29</f>
        <v/>
      </c>
      <c r="G29" s="10">
        <f>D29^2</f>
        <v/>
      </c>
      <c r="H29" s="10">
        <f>E29^2</f>
        <v/>
      </c>
      <c r="I29" s="10">
        <f>$B$52+$B$51*B29</f>
        <v/>
      </c>
      <c r="J29" s="10">
        <f>C29-I29</f>
        <v/>
      </c>
      <c r="K29" s="10">
        <f>J29^2</f>
        <v/>
      </c>
      <c r="L29" s="10">
        <f>I29-$B$45</f>
        <v/>
      </c>
      <c r="M29" s="10">
        <f>L29^2</f>
        <v/>
      </c>
      <c r="N29" s="3" t="n"/>
      <c r="O29" s="3" t="n"/>
      <c r="P29" s="3" t="n"/>
    </row>
    <row r="30">
      <c r="A30" s="8" t="inlineStr">
        <is>
          <t>Federal Rural do RJ</t>
        </is>
      </c>
      <c r="B30" s="23" t="n">
        <v>3686</v>
      </c>
      <c r="C30" s="23" t="n">
        <v>611</v>
      </c>
      <c r="D30" s="10">
        <f>B30-$B$44</f>
        <v/>
      </c>
      <c r="E30" s="10">
        <f>C30-$B$45</f>
        <v/>
      </c>
      <c r="F30" s="10">
        <f>D30*E30</f>
        <v/>
      </c>
      <c r="G30" s="10">
        <f>D30^2</f>
        <v/>
      </c>
      <c r="H30" s="10">
        <f>E30^2</f>
        <v/>
      </c>
      <c r="I30" s="10">
        <f>$B$52+$B$51*B30</f>
        <v/>
      </c>
      <c r="J30" s="10">
        <f>C30-I30</f>
        <v/>
      </c>
      <c r="K30" s="10">
        <f>J30^2</f>
        <v/>
      </c>
      <c r="L30" s="10">
        <f>I30-$B$45</f>
        <v/>
      </c>
      <c r="M30" s="10">
        <f>L30^2</f>
        <v/>
      </c>
      <c r="N30" s="3" t="n"/>
      <c r="O30" s="3" t="n"/>
      <c r="P30" s="3" t="n"/>
    </row>
    <row r="31">
      <c r="A31" s="8" t="inlineStr">
        <is>
          <t>Gama Filho</t>
        </is>
      </c>
      <c r="B31" s="23" t="n">
        <v>26000</v>
      </c>
      <c r="C31" s="23" t="n">
        <v>1541</v>
      </c>
      <c r="D31" s="10">
        <f>B31-$B$44</f>
        <v/>
      </c>
      <c r="E31" s="10">
        <f>C31-$B$45</f>
        <v/>
      </c>
      <c r="F31" s="10">
        <f>D31*E31</f>
        <v/>
      </c>
      <c r="G31" s="10">
        <f>D31^2</f>
        <v/>
      </c>
      <c r="H31" s="10">
        <f>E31^2</f>
        <v/>
      </c>
      <c r="I31" s="10">
        <f>$B$52+$B$51*B31</f>
        <v/>
      </c>
      <c r="J31" s="10">
        <f>C31-I31</f>
        <v/>
      </c>
      <c r="K31" s="10">
        <f>J31^2</f>
        <v/>
      </c>
      <c r="L31" s="10">
        <f>I31-$B$45</f>
        <v/>
      </c>
      <c r="M31" s="10">
        <f>L31^2</f>
        <v/>
      </c>
      <c r="N31" s="3" t="n"/>
      <c r="O31" s="3" t="n"/>
      <c r="P31" s="3" t="n"/>
    </row>
    <row r="32">
      <c r="A32" s="8" t="inlineStr">
        <is>
          <t>PUC de Campinas</t>
        </is>
      </c>
      <c r="B32" s="23" t="n">
        <v>18132</v>
      </c>
      <c r="C32" s="23" t="n">
        <v>1457</v>
      </c>
      <c r="D32" s="10">
        <f>B32-$B$44</f>
        <v/>
      </c>
      <c r="E32" s="10">
        <f>C32-$B$45</f>
        <v/>
      </c>
      <c r="F32" s="10">
        <f>D32*E32</f>
        <v/>
      </c>
      <c r="G32" s="10">
        <f>D32^2</f>
        <v/>
      </c>
      <c r="H32" s="10">
        <f>E32^2</f>
        <v/>
      </c>
      <c r="I32" s="10">
        <f>$B$52+$B$51*B32</f>
        <v/>
      </c>
      <c r="J32" s="10">
        <f>C32-I32</f>
        <v/>
      </c>
      <c r="K32" s="10">
        <f>J32^2</f>
        <v/>
      </c>
      <c r="L32" s="10">
        <f>I32-$B$45</f>
        <v/>
      </c>
      <c r="M32" s="10">
        <f>L32^2</f>
        <v/>
      </c>
      <c r="N32" s="3" t="n"/>
      <c r="O32" s="3" t="n"/>
      <c r="P32" s="3" t="n"/>
    </row>
    <row r="33">
      <c r="A33" s="8" t="inlineStr">
        <is>
          <t>PUC de Sao Paulo</t>
        </is>
      </c>
      <c r="B33" s="23" t="n">
        <v>15296</v>
      </c>
      <c r="C33" s="23" t="n">
        <v>1526</v>
      </c>
      <c r="D33" s="10">
        <f>B33-$B$44</f>
        <v/>
      </c>
      <c r="E33" s="10">
        <f>C33-$B$45</f>
        <v/>
      </c>
      <c r="F33" s="10">
        <f>D33*E33</f>
        <v/>
      </c>
      <c r="G33" s="10">
        <f>D33^2</f>
        <v/>
      </c>
      <c r="H33" s="10">
        <f>E33^2</f>
        <v/>
      </c>
      <c r="I33" s="10">
        <f>$B$52+$B$51*B33</f>
        <v/>
      </c>
      <c r="J33" s="10">
        <f>C33-I33</f>
        <v/>
      </c>
      <c r="K33" s="10">
        <f>J33^2</f>
        <v/>
      </c>
      <c r="L33" s="10">
        <f>I33-$B$45</f>
        <v/>
      </c>
      <c r="M33" s="10">
        <f>L33^2</f>
        <v/>
      </c>
      <c r="N33" s="3" t="n"/>
      <c r="O33" s="3" t="n"/>
      <c r="P33" s="3" t="n"/>
    </row>
    <row r="34">
      <c r="A34" s="8" t="inlineStr">
        <is>
          <t>Estadual de Campinas</t>
        </is>
      </c>
      <c r="B34" s="23" t="n">
        <v>9843</v>
      </c>
      <c r="C34" s="23" t="n">
        <v>1474</v>
      </c>
      <c r="D34" s="10">
        <f>B34-$B$44</f>
        <v/>
      </c>
      <c r="E34" s="10">
        <f>C34-$B$45</f>
        <v/>
      </c>
      <c r="F34" s="10">
        <f>D34*E34</f>
        <v/>
      </c>
      <c r="G34" s="10">
        <f>D34^2</f>
        <v/>
      </c>
      <c r="H34" s="10">
        <f>E34^2</f>
        <v/>
      </c>
      <c r="I34" s="10">
        <f>$B$52+$B$51*B34</f>
        <v/>
      </c>
      <c r="J34" s="10">
        <f>C34-I34</f>
        <v/>
      </c>
      <c r="K34" s="10">
        <f>J34^2</f>
        <v/>
      </c>
      <c r="L34" s="10">
        <f>I34-$B$45</f>
        <v/>
      </c>
      <c r="M34" s="10">
        <f>L34^2</f>
        <v/>
      </c>
      <c r="N34" s="3" t="n"/>
      <c r="O34" s="3" t="n"/>
      <c r="P34" s="3" t="n"/>
    </row>
    <row r="35">
      <c r="A35" s="8" t="inlineStr">
        <is>
          <t>UNESP Julio Mesquita Filho</t>
        </is>
      </c>
      <c r="B35" s="23" t="n">
        <v>14204</v>
      </c>
      <c r="C35" s="23" t="n">
        <v>2395</v>
      </c>
      <c r="D35" s="10">
        <f>B35-$B$44</f>
        <v/>
      </c>
      <c r="E35" s="10">
        <f>C35-$B$45</f>
        <v/>
      </c>
      <c r="F35" s="10">
        <f>D35*E35</f>
        <v/>
      </c>
      <c r="G35" s="10">
        <f>D35^2</f>
        <v/>
      </c>
      <c r="H35" s="10">
        <f>E35^2</f>
        <v/>
      </c>
      <c r="I35" s="10">
        <f>$B$52+$B$51*B35</f>
        <v/>
      </c>
      <c r="J35" s="10">
        <f>C35-I35</f>
        <v/>
      </c>
      <c r="K35" s="10">
        <f>J35^2</f>
        <v/>
      </c>
      <c r="L35" s="10">
        <f>I35-$B$45</f>
        <v/>
      </c>
      <c r="M35" s="10">
        <f>L35^2</f>
        <v/>
      </c>
      <c r="N35" s="3" t="n"/>
      <c r="O35" s="3" t="n"/>
      <c r="P35" s="3" t="n"/>
    </row>
    <row r="36">
      <c r="A36" s="8" t="inlineStr">
        <is>
          <t>Federal de Sao Carlos</t>
        </is>
      </c>
      <c r="B36" s="23" t="n">
        <v>2566</v>
      </c>
      <c r="C36" s="23" t="n">
        <v>463</v>
      </c>
      <c r="D36" s="10">
        <f>B36-$B$44</f>
        <v/>
      </c>
      <c r="E36" s="10">
        <f>C36-$B$45</f>
        <v/>
      </c>
      <c r="F36" s="10">
        <f>D36*E36</f>
        <v/>
      </c>
      <c r="G36" s="10">
        <f>D36^2</f>
        <v/>
      </c>
      <c r="H36" s="10">
        <f>E36^2</f>
        <v/>
      </c>
      <c r="I36" s="10">
        <f>$B$52+$B$51*B36</f>
        <v/>
      </c>
      <c r="J36" s="10">
        <f>C36-I36</f>
        <v/>
      </c>
      <c r="K36" s="10">
        <f>J36^2</f>
        <v/>
      </c>
      <c r="L36" s="10">
        <f>I36-$B$45</f>
        <v/>
      </c>
      <c r="M36" s="10">
        <f>L36^2</f>
        <v/>
      </c>
      <c r="N36" s="3" t="n"/>
      <c r="O36" s="3" t="n"/>
      <c r="P36" s="3" t="n"/>
    </row>
    <row r="37">
      <c r="A37" s="8" t="inlineStr">
        <is>
          <t>Univ. Mackenzie</t>
        </is>
      </c>
      <c r="B37" s="23" t="n">
        <v>14022</v>
      </c>
      <c r="C37" s="23" t="n">
        <v>121</v>
      </c>
      <c r="D37" s="10">
        <f>B37-$B$44</f>
        <v/>
      </c>
      <c r="E37" s="10">
        <f>C37-$B$45</f>
        <v/>
      </c>
      <c r="F37" s="10">
        <f>D37*E37</f>
        <v/>
      </c>
      <c r="G37" s="10">
        <f>D37^2</f>
        <v/>
      </c>
      <c r="H37" s="10">
        <f>E37^2</f>
        <v/>
      </c>
      <c r="I37" s="10">
        <f>$B$52+$B$51*B37</f>
        <v/>
      </c>
      <c r="J37" s="10">
        <f>C37-I37</f>
        <v/>
      </c>
      <c r="K37" s="10">
        <f>J37^2</f>
        <v/>
      </c>
      <c r="L37" s="10">
        <f>I37-$B$45</f>
        <v/>
      </c>
      <c r="M37" s="10">
        <f>L37^2</f>
        <v/>
      </c>
      <c r="N37" s="3" t="n"/>
      <c r="O37" s="3" t="n"/>
      <c r="P37" s="3" t="n"/>
    </row>
    <row r="38">
      <c r="A38" s="8" t="inlineStr">
        <is>
          <t>Univ. de Mogi das Cruzes</t>
        </is>
      </c>
      <c r="B38" s="23" t="n">
        <v>15088</v>
      </c>
      <c r="C38" s="23" t="n">
        <v>924</v>
      </c>
      <c r="D38" s="10">
        <f>B38-$B$44</f>
        <v/>
      </c>
      <c r="E38" s="10">
        <f>C38-$B$45</f>
        <v/>
      </c>
      <c r="F38" s="10">
        <f>D38*E38</f>
        <v/>
      </c>
      <c r="G38" s="10">
        <f>D38^2</f>
        <v/>
      </c>
      <c r="H38" s="10">
        <f>E38^2</f>
        <v/>
      </c>
      <c r="I38" s="10">
        <f>$B$52+$B$51*B38</f>
        <v/>
      </c>
      <c r="J38" s="10">
        <f>C38-I38</f>
        <v/>
      </c>
      <c r="K38" s="10">
        <f>J38^2</f>
        <v/>
      </c>
      <c r="L38" s="10">
        <f>I38-$B$45</f>
        <v/>
      </c>
      <c r="M38" s="10">
        <f>L38^2</f>
        <v/>
      </c>
      <c r="N38" s="3" t="n"/>
      <c r="O38" s="3" t="n"/>
      <c r="P38" s="3" t="n"/>
    </row>
    <row r="39">
      <c r="A39" s="8" t="inlineStr">
        <is>
          <t>Estadual de Sao Paulo</t>
        </is>
      </c>
      <c r="B39" s="23" t="n">
        <v>44159</v>
      </c>
      <c r="C39" s="23" t="n">
        <v>4461</v>
      </c>
      <c r="D39" s="10">
        <f>B39-$B$44</f>
        <v/>
      </c>
      <c r="E39" s="10">
        <f>C39-$B$45</f>
        <v/>
      </c>
      <c r="F39" s="10">
        <f>D39*E39</f>
        <v/>
      </c>
      <c r="G39" s="10">
        <f>D39^2</f>
        <v/>
      </c>
      <c r="H39" s="10">
        <f>E39^2</f>
        <v/>
      </c>
      <c r="I39" s="10">
        <f>$B$52+$B$51*B39</f>
        <v/>
      </c>
      <c r="J39" s="10">
        <f>C39-I39</f>
        <v/>
      </c>
      <c r="K39" s="10">
        <f>J39^2</f>
        <v/>
      </c>
      <c r="L39" s="10">
        <f>I39-$B$45</f>
        <v/>
      </c>
      <c r="M39" s="10">
        <f>L39^2</f>
        <v/>
      </c>
      <c r="N39" s="3" t="n"/>
      <c r="O39" s="3" t="n"/>
      <c r="P39" s="3" t="n"/>
    </row>
    <row r="40">
      <c r="A40" s="8" t="inlineStr">
        <is>
          <t>Metodista de Piracicaba</t>
        </is>
      </c>
      <c r="B40" s="23" t="n">
        <v>6600</v>
      </c>
      <c r="C40" s="23" t="n">
        <v>500</v>
      </c>
      <c r="D40" s="10">
        <f>B40-$B$44</f>
        <v/>
      </c>
      <c r="E40" s="10">
        <f>C40-$B$45</f>
        <v/>
      </c>
      <c r="F40" s="10">
        <f>D40*E40</f>
        <v/>
      </c>
      <c r="G40" s="10">
        <f>D40^2</f>
        <v/>
      </c>
      <c r="H40" s="10">
        <f>E40^2</f>
        <v/>
      </c>
      <c r="I40" s="10">
        <f>$B$52+$B$51*B40</f>
        <v/>
      </c>
      <c r="J40" s="10">
        <f>C40-I40</f>
        <v/>
      </c>
      <c r="K40" s="10">
        <f>J40^2</f>
        <v/>
      </c>
      <c r="L40" s="10">
        <f>I40-$B$45</f>
        <v/>
      </c>
      <c r="M40" s="10">
        <f>L40^2</f>
        <v/>
      </c>
      <c r="N40" s="3" t="n"/>
      <c r="O40" s="3" t="n"/>
      <c r="P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 ht="22" customHeight="1">
      <c r="A42" s="4" t="inlineStr">
        <is>
          <t>Resumo do calculo manual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8" t="inlineStr">
        <is>
          <t>n</t>
        </is>
      </c>
      <c r="B43" s="10">
        <f>COUNT(B10:B40)</f>
        <v/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8" t="inlineStr">
        <is>
          <t>media x</t>
        </is>
      </c>
      <c r="B44" s="10">
        <f>SUM(B10:B40)/B43</f>
        <v/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8" t="inlineStr">
        <is>
          <t>media y</t>
        </is>
      </c>
      <c r="B45" s="10">
        <f>SUM(C10:C40)/B43</f>
        <v/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8" t="inlineStr">
        <is>
          <t>SOMA dx*dy</t>
        </is>
      </c>
      <c r="B46" s="10">
        <f>SUM(F10:F40)</f>
        <v/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8" t="inlineStr">
        <is>
          <t>SOMA dx^2</t>
        </is>
      </c>
      <c r="B47" s="10">
        <f>SUM(G10:G40)</f>
        <v/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8" t="inlineStr">
        <is>
          <t>SQTot = SOMA dy^2</t>
        </is>
      </c>
      <c r="B48" s="10">
        <f>SUM(H10:H40)</f>
        <v/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8" t="inlineStr">
        <is>
          <t>r manual</t>
        </is>
      </c>
      <c r="B49" s="10">
        <f>B46/SQRT(B47*B48)</f>
        <v/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8" t="inlineStr">
        <is>
          <t>R2 manual = r^2</t>
        </is>
      </c>
      <c r="B50" s="10">
        <f>B49^2</f>
        <v/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8" t="inlineStr">
        <is>
          <t>b manual</t>
        </is>
      </c>
      <c r="B51" s="10">
        <f>B46/B47</f>
        <v/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8" t="inlineStr">
        <is>
          <t>a manual</t>
        </is>
      </c>
      <c r="B52" s="10">
        <f>B45-B51*B44</f>
        <v/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 ht="22" customHeight="1">
      <c r="A54" s="18" t="inlineStr">
        <is>
          <t>ANOVA da regressao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19" t="inlineStr">
        <is>
          <t>Fonte</t>
        </is>
      </c>
      <c r="B55" s="20" t="inlineStr">
        <is>
          <t>SQ</t>
        </is>
      </c>
      <c r="C55" s="20" t="inlineStr">
        <is>
          <t>gl</t>
        </is>
      </c>
      <c r="D55" s="20" t="inlineStr">
        <is>
          <t>QM</t>
        </is>
      </c>
      <c r="E55" s="20" t="inlineStr">
        <is>
          <t>F</t>
        </is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8" t="inlineStr">
        <is>
          <t>Regressao</t>
        </is>
      </c>
      <c r="B56" s="10">
        <f>SUM(M10:M40)</f>
        <v/>
      </c>
      <c r="C56" s="10">
        <f>1</f>
        <v/>
      </c>
      <c r="D56" s="10">
        <f>B56/C56</f>
        <v/>
      </c>
      <c r="E56" s="10">
        <f>D56/D57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8" t="inlineStr">
        <is>
          <t>Residuos</t>
        </is>
      </c>
      <c r="B57" s="10">
        <f>SUM(K10:K40)</f>
        <v/>
      </c>
      <c r="C57" s="10">
        <f>B43-2</f>
        <v/>
      </c>
      <c r="D57" s="10">
        <f>B57/C57</f>
        <v/>
      </c>
      <c r="E57" s="9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8" t="inlineStr">
        <is>
          <t>Total</t>
        </is>
      </c>
      <c r="B58" s="10">
        <f>B56+B57</f>
        <v/>
      </c>
      <c r="C58" s="10">
        <f>B43-1</f>
        <v/>
      </c>
      <c r="D58" s="9" t="n"/>
      <c r="E58" s="9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8" t="inlineStr">
        <is>
          <t>Conferencia SQTot - (SQReg + SQRes)</t>
        </is>
      </c>
      <c r="B60" s="10">
        <f>B48-B58</f>
        <v/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8" t="inlineStr">
        <is>
          <t>R2 pela ANOVA</t>
        </is>
      </c>
      <c r="B61" s="10">
        <f>B56/B58</f>
        <v/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 ht="22" customHeight="1">
      <c r="A63" s="21" t="inlineStr">
        <is>
          <t>Validacao com LINEST completo do Google Planilhas</t>
        </is>
      </c>
      <c r="I63" s="3" t="n"/>
      <c r="J63" s="3" t="n"/>
      <c r="K63" s="3" t="n"/>
      <c r="L63" s="3" t="n"/>
      <c r="M63" s="3" t="n"/>
      <c r="N63" s="3" t="n"/>
      <c r="O63" s="3" t="n"/>
      <c r="P63" s="3" t="n"/>
    </row>
    <row r="64" ht="30" customHeight="1">
      <c r="A64" s="8" t="inlineStr">
        <is>
          <t>linha 1: b | a</t>
        </is>
      </c>
      <c r="B64" s="10">
        <f>LINEST(C10:C40,B10:B40,TRUE,TRUE)</f>
        <v/>
      </c>
      <c r="C64" s="10" t="n"/>
      <c r="D64" s="3">
        <f>LINEST(intervalo_y; intervalo_x; TRUE; TRUE)</f>
        <v/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 ht="30" customHeight="1">
      <c r="A65" s="8" t="inlineStr">
        <is>
          <t>linha 2: erro-padrao de b | erro-padrao de a</t>
        </is>
      </c>
      <c r="B65" s="10" t="n"/>
      <c r="C65" s="10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 ht="30" customHeight="1">
      <c r="A66" s="8" t="inlineStr">
        <is>
          <t>linha 3: R2 | erro-padrao da estimativa de y</t>
        </is>
      </c>
      <c r="B66" s="10" t="n"/>
      <c r="C66" s="10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 ht="30" customHeight="1">
      <c r="A67" s="8" t="inlineStr">
        <is>
          <t>linha 4: F | graus de liberdade</t>
        </is>
      </c>
      <c r="B67" s="10" t="n"/>
      <c r="C67" s="10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 ht="30" customHeight="1">
      <c r="A68" s="8" t="inlineStr">
        <is>
          <t>linha 5: SQReg | SQRes</t>
        </is>
      </c>
      <c r="B68" s="10" t="n"/>
      <c r="C68" s="10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 ht="22" customHeight="1">
      <c r="A70" s="15" t="inlineStr">
        <is>
          <t>Interpretacao critica</t>
        </is>
      </c>
    </row>
    <row r="71" ht="36" customHeight="1">
      <c r="A71" s="2" t="inlineStr">
        <is>
          <t>r aproximado 0,837 e R2 aproximado 0,700: associacao linear positiva forte, com cerca de 70,0% da variacao de professores explicada pela regressao.</t>
        </is>
      </c>
    </row>
    <row r="72" ht="36" customHeight="1">
      <c r="A72" s="2" t="inlineStr">
        <is>
          <t>ANOVA: F aproximado 67,803. A variacao explicada pela reta e grande em relacao a variacao residual.</t>
        </is>
      </c>
    </row>
    <row r="73" ht="36" customHeight="1">
      <c r="A73" s="2" t="inlineStr">
        <is>
          <t>Reta: professores = 89,546 + 0,08748*alunos; cada 1000 alunos adicionais estao associados a cerca de 87,5 professores previstos.</t>
        </is>
      </c>
    </row>
    <row r="74" ht="36" customHeight="1">
      <c r="A74" s="2" t="inlineStr">
        <is>
          <t>O intercepto e parametro tecnico; x=0 nao tem interpretacao substantiva forte nesse contexto.</t>
        </is>
      </c>
    </row>
    <row r="75" ht="36" customHeight="1">
      <c r="A75" s="2" t="inlineStr">
        <is>
          <t>Mesmo com R2 alto e F elevado, associacao nao deve ser lida como prova causal.</t>
        </is>
      </c>
    </row>
  </sheetData>
  <mergeCells count="17">
    <mergeCell ref="A54:F54"/>
    <mergeCell ref="A5:P5"/>
    <mergeCell ref="A75:P75"/>
    <mergeCell ref="A42:F42"/>
    <mergeCell ref="A1:P1"/>
    <mergeCell ref="A2:P2"/>
    <mergeCell ref="A70:P70"/>
    <mergeCell ref="A63:H63"/>
    <mergeCell ref="A8:P8"/>
    <mergeCell ref="A6:P6"/>
    <mergeCell ref="A74:P74"/>
    <mergeCell ref="A4:P4"/>
    <mergeCell ref="A3:P3"/>
    <mergeCell ref="A72:P72"/>
    <mergeCell ref="A7:P7"/>
    <mergeCell ref="A73:P73"/>
    <mergeCell ref="A71:P7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2026-05-06T23:21:22Z</dcterms:created>
  <dcterms:modified xmlns:dcterms="http://purl.org/dc/terms/" xmlns:xsi="http://www.w3.org/2001/XMLSchema-instance" xsi:type="dcterms:W3CDTF">2026-05-07T18:00:39Z</dcterms:modified>
</cp:coreProperties>
</file>