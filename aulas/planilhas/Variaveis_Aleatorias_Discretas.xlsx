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5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Conceitos" sheetId="1" r:id="rId5"/>
    <sheet state="visible" name="Ex1" sheetId="2" r:id="rId6"/>
    <sheet state="visible" name="Ex2" sheetId="3" r:id="rId7"/>
    <sheet state="visible" name="Ex3" sheetId="4" r:id="rId8"/>
    <sheet state="visible" name="Ex4" sheetId="5" r:id="rId9"/>
  </sheets>
  <definedNames/>
  <calcPr/>
</workbook>
</file>

<file path=xl/sharedStrings.xml><?xml version="1.0" encoding="utf-8"?>
<sst xmlns="http://schemas.openxmlformats.org/spreadsheetml/2006/main" count="159" uniqueCount="137">
  <si>
    <t>Revisão conceitual: variáveis aleatórias discretas</t>
  </si>
  <si>
    <t>Conceito</t>
  </si>
  <si>
    <t>Fórmula / estrutura</t>
  </si>
  <si>
    <t>Quando usar / leitura</t>
  </si>
  <si>
    <t>Alerta</t>
  </si>
  <si>
    <t>Variável aleatória discreta</t>
  </si>
  <si>
    <t>X assume valores finitos ou enumeráveis</t>
  </si>
  <si>
    <t>Contagens, categorias numéricas, ganhos discretos</t>
  </si>
  <si>
    <t>Definir X antes de calcular</t>
  </si>
  <si>
    <t>Função de probabilidade</t>
  </si>
  <si>
    <t>p(x)=P(X=x); soma p(x)=1</t>
  </si>
  <si>
    <t>Distribui a probabilidade entre valores possíveis</t>
  </si>
  <si>
    <t>Probabilidades negativas ou soma diferente de 1 invalidam a distribuição</t>
  </si>
  <si>
    <t>Função acumulada</t>
  </si>
  <si>
    <t>F(x)=P(X&lt;=x)</t>
  </si>
  <si>
    <t>Soma probabilidades até x</t>
  </si>
  <si>
    <t>Cuidado com &lt;= e &lt;</t>
  </si>
  <si>
    <t>Esperança</t>
  </si>
  <si>
    <t>E(X)=soma x p(x)</t>
  </si>
  <si>
    <t>Média teórica de longo prazo</t>
  </si>
  <si>
    <t>Pode não ser valor possível</t>
  </si>
  <si>
    <t>Esperança de função</t>
  </si>
  <si>
    <t>E[h(X)]=soma h(x)p(x)</t>
  </si>
  <si>
    <t>Ganhos, custos e transformações</t>
  </si>
  <si>
    <t>Aplicar h(x) antes de ponderar</t>
  </si>
  <si>
    <t>Variância</t>
  </si>
  <si>
    <t>Var(X)=E(X^2)-E(X)^2</t>
  </si>
  <si>
    <t>Dispersão em torno da média</t>
  </si>
  <si>
    <t>Unidade fica ao quadrado</t>
  </si>
  <si>
    <t>Desvio-padrão</t>
  </si>
  <si>
    <t>DP=sqrt(Var)</t>
  </si>
  <si>
    <t>Dispersão na unidade original</t>
  </si>
  <si>
    <t>Não confundir com variância</t>
  </si>
  <si>
    <t>Bernoulli</t>
  </si>
  <si>
    <t>P(X=1)=p; P(X=0)=1-p</t>
  </si>
  <si>
    <t>Uma tentativa sucesso/fracasso</t>
  </si>
  <si>
    <t>Base da binomial</t>
  </si>
  <si>
    <t>Binomial</t>
  </si>
  <si>
    <t>P(X=k)=COMBIN(n,k)p^k(1-p)^(n-k)</t>
  </si>
  <si>
    <t>n tentativas independentes com p constante</t>
  </si>
  <si>
    <t>Não usar se p muda</t>
  </si>
  <si>
    <t>Hipergeométrica</t>
  </si>
  <si>
    <t>COMBIN(K,k)COMBIN(N-K,n-k)/COMBIN(N,n)</t>
  </si>
  <si>
    <t>Amostra sem reposição de população finita</t>
  </si>
  <si>
    <t>Modelo correto para lote pequeno sem reposição</t>
  </si>
  <si>
    <t>Poisson</t>
  </si>
  <si>
    <t>P(X=k)=EXP(-lambda)lambda^k/k!</t>
  </si>
  <si>
    <t>Contagens em intervalo com taxa média</t>
  </si>
  <si>
    <t>Média e variância são lambda</t>
  </si>
  <si>
    <t>Quando usar cada modelo</t>
  </si>
  <si>
    <t>Situação</t>
  </si>
  <si>
    <t>Modelo</t>
  </si>
  <si>
    <t>Parâmetros</t>
  </si>
  <si>
    <t>p</t>
  </si>
  <si>
    <t>n tentativas independentes</t>
  </si>
  <si>
    <t>n, p</t>
  </si>
  <si>
    <t>Amostra sem reposição de lote finito</t>
  </si>
  <si>
    <t>N, K, n</t>
  </si>
  <si>
    <t>Contagem em tempo/espaço</t>
  </si>
  <si>
    <t>lambda</t>
  </si>
  <si>
    <t>Probabilidades dependem do histórico</t>
  </si>
  <si>
    <t>Tabela de sequências</t>
  </si>
  <si>
    <t>sequência, X, probabilidade</t>
  </si>
  <si>
    <t>Checklist</t>
  </si>
  <si>
    <t>Defina a variável aleatória antes de escolher modelo.</t>
  </si>
  <si>
    <t>Confira se as probabilidades somam 1.</t>
  </si>
  <si>
    <t>Use tabela de sequências quando houver dependência por histórico.</t>
  </si>
  <si>
    <t>Use hipergeométrica para amostragem sem reposição em lote finito.</t>
  </si>
  <si>
    <t>Interprete esperança como média de longo prazo, não promessa de resultado.</t>
  </si>
  <si>
    <t>Ex1 - Futebol: cobrando pênaltis</t>
  </si>
  <si>
    <t>Sequência</t>
  </si>
  <si>
    <t>X</t>
  </si>
  <si>
    <t>P(1a)</t>
  </si>
  <si>
    <t>P(2a | 1a)</t>
  </si>
  <si>
    <t>P(3a | 1a,2a)</t>
  </si>
  <si>
    <t>Prob. sequência</t>
  </si>
  <si>
    <t>GGG</t>
  </si>
  <si>
    <t>GGE</t>
  </si>
  <si>
    <t>GEG</t>
  </si>
  <si>
    <t>GEE</t>
  </si>
  <si>
    <t>EGG</t>
  </si>
  <si>
    <t>EGE</t>
  </si>
  <si>
    <t>EEG</t>
  </si>
  <si>
    <t>EEE</t>
  </si>
  <si>
    <t>Total</t>
  </si>
  <si>
    <t>x</t>
  </si>
  <si>
    <t>P(X=x)</t>
  </si>
  <si>
    <t>F(x)</t>
  </si>
  <si>
    <t>xP(X=x)</t>
  </si>
  <si>
    <t>x^2P(X=x)</t>
  </si>
  <si>
    <t>Resultados</t>
  </si>
  <si>
    <t>E(X)</t>
  </si>
  <si>
    <t>E(X^2)</t>
  </si>
  <si>
    <t>Var(X)</t>
  </si>
  <si>
    <t>DP(X)</t>
  </si>
  <si>
    <t>Alerta: não use binomial; as probabilidades de conversão mudam conforme o histórico das cobranças.</t>
  </si>
  <si>
    <t>Ex2 - Aposta</t>
  </si>
  <si>
    <t>Distribuição do ganho líquido com prêmio de R$ 100</t>
  </si>
  <si>
    <t>Resultado</t>
  </si>
  <si>
    <t>Probabilidade</t>
  </si>
  <si>
    <t>Ganho líquido</t>
  </si>
  <si>
    <t>Prob.*ganho</t>
  </si>
  <si>
    <t>6 na 1a tentativa</t>
  </si>
  <si>
    <t>6 na 2a tentativa</t>
  </si>
  <si>
    <t>6 na 3a tentativa</t>
  </si>
  <si>
    <t>Nenhum 6 em 3 tentativas</t>
  </si>
  <si>
    <t>Total / E(G)</t>
  </si>
  <si>
    <t>Prêmio justo</t>
  </si>
  <si>
    <t>Prêmio</t>
  </si>
  <si>
    <t>Ganho com prêmio justo</t>
  </si>
  <si>
    <t>(ganho-media)^2*prob</t>
  </si>
  <si>
    <t>Total / média / variância</t>
  </si>
  <si>
    <t>Expectativa com prêmio de 100</t>
  </si>
  <si>
    <t>Variância com prêmio justo</t>
  </si>
  <si>
    <t>DP com prêmio justo</t>
  </si>
  <si>
    <t>Alerta: a probabilidade de pelo menos um 6 não basta; o ganho depende da tentativa em que o 6 aparece.</t>
  </si>
  <si>
    <t>Ex3 - Placas de circuito integrado: binomial versus hipergeométrica</t>
  </si>
  <si>
    <t>Dados</t>
  </si>
  <si>
    <t>Parâmetro</t>
  </si>
  <si>
    <t>Valor</t>
  </si>
  <si>
    <t>Significado</t>
  </si>
  <si>
    <t>N</t>
  </si>
  <si>
    <t>tamanho do lote</t>
  </si>
  <si>
    <t>K</t>
  </si>
  <si>
    <t>defeituosas no lote</t>
  </si>
  <si>
    <t>n</t>
  </si>
  <si>
    <t>tamanho da amostra</t>
  </si>
  <si>
    <t>p=K/N</t>
  </si>
  <si>
    <t>probabilidade de defeito com reposição</t>
  </si>
  <si>
    <t>Com reposição: Binomial</t>
  </si>
  <si>
    <t>P(X&gt;=1) = 1 - P(X=0)</t>
  </si>
  <si>
    <t>Sem reposição: Hipergeométrica</t>
  </si>
  <si>
    <t>P(X&gt;=1) = 1 - COMBIN(N-K,n)/COMBIN(N,n)</t>
  </si>
  <si>
    <t>Comparação</t>
  </si>
  <si>
    <t>Com reposição</t>
  </si>
  <si>
    <t>Sem reposição</t>
  </si>
  <si>
    <t>Alerta: sem reposição em lote finito exige hipergeométrica; usar binomial nos dois itens reduz o rigor técnico.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</si>
</sst>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0" fillId="0" fontId="5" numFmtId="0" xfId="0" applyFont="1"/>
    <xf borderId="0" fillId="0" fontId="4" numFmtId="0" xfId="0" applyAlignment="1" applyFont="1">
      <alignment shrinkToFit="0" vertical="top" wrapText="1"/>
    </xf>
    <xf borderId="1" fillId="0" fontId="4" numFmtId="2" xfId="0" applyBorder="1" applyFont="1" applyNumberFormat="1"/>
    <xf borderId="1" fillId="0" fontId="4" numFmtId="10" xfId="0" applyBorder="1" applyFont="1" applyNumberFormat="1"/>
    <xf borderId="1" fillId="0" fontId="2" numFmtId="0" xfId="0" applyBorder="1" applyFont="1"/>
    <xf borderId="1" fillId="0" fontId="2" numFmtId="10" xfId="0" applyBorder="1" applyFont="1" applyNumberFormat="1"/>
    <xf borderId="1" fillId="0" fontId="4" numFmtId="2" xfId="0" applyAlignment="1" applyBorder="1" applyFont="1" applyNumberFormat="1">
      <alignment horizontal="left"/>
    </xf>
    <xf borderId="1" fillId="0" fontId="4" numFmtId="4" xfId="0" applyBorder="1" applyFont="1" applyNumberFormat="1"/>
    <xf borderId="0" fillId="0" fontId="6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microsoft.com/office/2017/10/relationships/person" Target="persons/person.xml" /><Relationship Id="rId5" Type="http://schemas.openxmlformats.org/officeDocument/2006/relationships/worksheet" Target="worksheets/sheet1.xml" /><Relationship Id="rId6" Type="http://schemas.openxmlformats.org/officeDocument/2006/relationships/worksheet" Target="worksheets/sheet2.xml" /><Relationship Id="rId7" Type="http://schemas.openxmlformats.org/officeDocument/2006/relationships/worksheet" Target="worksheets/sheet3.xml" /><Relationship Id="rId8" Type="http://schemas.openxmlformats.org/officeDocument/2006/relationships/worksheet" Target="worksheets/sheet4.xml" /><Relationship Id="rId9" Type="http://schemas.openxmlformats.org/officeDocument/2006/relationships/worksheet" Target="worksheets/sheet5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7.43"/>
    <col customWidth="1" min="2" max="2" width="39.43"/>
    <col customWidth="1" min="3" max="3" width="44.14"/>
    <col customWidth="1" min="4" max="4" width="66.86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4" t="s">
        <v>6</v>
      </c>
      <c r="C4" s="4" t="s">
        <v>7</v>
      </c>
      <c r="D4" s="4" t="s">
        <v>8</v>
      </c>
    </row>
    <row r="5">
      <c r="A5" s="3" t="s">
        <v>9</v>
      </c>
      <c r="B5" s="4" t="s">
        <v>10</v>
      </c>
      <c r="C5" s="4" t="s">
        <v>11</v>
      </c>
      <c r="D5" s="4" t="s">
        <v>12</v>
      </c>
    </row>
    <row r="6">
      <c r="A6" s="3" t="s">
        <v>13</v>
      </c>
      <c r="B6" s="4" t="s">
        <v>14</v>
      </c>
      <c r="C6" s="4" t="s">
        <v>15</v>
      </c>
      <c r="D6" s="4" t="s">
        <v>16</v>
      </c>
    </row>
    <row r="7">
      <c r="A7" s="3" t="s">
        <v>17</v>
      </c>
      <c r="B7" s="4" t="s">
        <v>18</v>
      </c>
      <c r="C7" s="4" t="s">
        <v>19</v>
      </c>
      <c r="D7" s="4" t="s">
        <v>20</v>
      </c>
    </row>
    <row r="8">
      <c r="A8" s="3" t="s">
        <v>21</v>
      </c>
      <c r="B8" s="4" t="s">
        <v>22</v>
      </c>
      <c r="C8" s="4" t="s">
        <v>23</v>
      </c>
      <c r="D8" s="4" t="s">
        <v>24</v>
      </c>
    </row>
    <row r="9">
      <c r="A9" s="3" t="s">
        <v>25</v>
      </c>
      <c r="B9" s="4" t="s">
        <v>26</v>
      </c>
      <c r="C9" s="4" t="s">
        <v>27</v>
      </c>
      <c r="D9" s="4" t="s">
        <v>28</v>
      </c>
    </row>
    <row r="10">
      <c r="A10" s="3" t="s">
        <v>29</v>
      </c>
      <c r="B10" s="4" t="s">
        <v>30</v>
      </c>
      <c r="C10" s="4" t="s">
        <v>31</v>
      </c>
      <c r="D10" s="4" t="s">
        <v>32</v>
      </c>
    </row>
    <row r="11">
      <c r="A11" s="3" t="s">
        <v>33</v>
      </c>
      <c r="B11" s="4" t="s">
        <v>34</v>
      </c>
      <c r="C11" s="4" t="s">
        <v>35</v>
      </c>
      <c r="D11" s="4" t="s">
        <v>36</v>
      </c>
    </row>
    <row r="12">
      <c r="A12" s="3" t="s">
        <v>37</v>
      </c>
      <c r="B12" s="4" t="s">
        <v>38</v>
      </c>
      <c r="C12" s="4" t="s">
        <v>39</v>
      </c>
      <c r="D12" s="4" t="s">
        <v>40</v>
      </c>
    </row>
    <row r="13">
      <c r="A13" s="3" t="s">
        <v>41</v>
      </c>
      <c r="B13" s="4" t="s">
        <v>42</v>
      </c>
      <c r="C13" s="4" t="s">
        <v>43</v>
      </c>
      <c r="D13" s="4" t="s">
        <v>44</v>
      </c>
    </row>
    <row r="14">
      <c r="A14" s="3" t="s">
        <v>45</v>
      </c>
      <c r="B14" s="4" t="s">
        <v>46</v>
      </c>
      <c r="C14" s="4" t="s">
        <v>47</v>
      </c>
      <c r="D14" s="4" t="s">
        <v>48</v>
      </c>
    </row>
    <row r="16">
      <c r="A16" s="5" t="s">
        <v>49</v>
      </c>
    </row>
    <row r="17">
      <c r="A17" s="2" t="s">
        <v>50</v>
      </c>
      <c r="B17" s="2" t="s">
        <v>51</v>
      </c>
      <c r="C17" s="2" t="s">
        <v>52</v>
      </c>
    </row>
    <row r="18">
      <c r="A18" s="4" t="s">
        <v>35</v>
      </c>
      <c r="B18" s="3" t="s">
        <v>33</v>
      </c>
      <c r="C18" s="3" t="s">
        <v>53</v>
      </c>
    </row>
    <row r="19">
      <c r="A19" s="4" t="s">
        <v>54</v>
      </c>
      <c r="B19" s="3" t="s">
        <v>37</v>
      </c>
      <c r="C19" s="3" t="s">
        <v>55</v>
      </c>
    </row>
    <row r="20">
      <c r="A20" s="4" t="s">
        <v>56</v>
      </c>
      <c r="B20" s="3" t="s">
        <v>41</v>
      </c>
      <c r="C20" s="3" t="s">
        <v>57</v>
      </c>
    </row>
    <row r="21">
      <c r="A21" s="4" t="s">
        <v>58</v>
      </c>
      <c r="B21" s="3" t="s">
        <v>45</v>
      </c>
      <c r="C21" s="3" t="s">
        <v>59</v>
      </c>
    </row>
    <row r="22">
      <c r="A22" s="4" t="s">
        <v>60</v>
      </c>
      <c r="B22" s="3" t="s">
        <v>61</v>
      </c>
      <c r="C22" s="3" t="s">
        <v>62</v>
      </c>
    </row>
    <row r="24">
      <c r="A24" s="5" t="s">
        <v>63</v>
      </c>
    </row>
    <row r="25">
      <c r="A25" s="6" t="s">
        <v>64</v>
      </c>
    </row>
    <row r="26">
      <c r="A26" s="6" t="s">
        <v>65</v>
      </c>
    </row>
    <row r="27">
      <c r="A27" s="6" t="s">
        <v>66</v>
      </c>
    </row>
    <row r="28">
      <c r="A28" s="6" t="s">
        <v>67</v>
      </c>
    </row>
    <row r="29">
      <c r="A29" s="6" t="s">
        <v>68</v>
      </c>
    </row>
  </sheetData>
  <mergeCells count="8">
    <mergeCell ref="A1:D1"/>
    <mergeCell ref="A16:C16"/>
    <mergeCell ref="A24:D24"/>
    <mergeCell ref="A25:D25"/>
    <mergeCell ref="A26:D26"/>
    <mergeCell ref="A27:D27"/>
    <mergeCell ref="A28:D28"/>
    <mergeCell ref="A29:D2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14.0"/>
    <col customWidth="1" min="4" max="4" width="16.0"/>
    <col customWidth="1" min="5" max="6" width="20.0"/>
  </cols>
  <sheetData>
    <row r="1">
      <c r="A1" s="1" t="s">
        <v>69</v>
      </c>
    </row>
    <row r="3">
      <c r="A3" s="5" t="s">
        <v>61</v>
      </c>
    </row>
    <row r="4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</row>
    <row r="5">
      <c r="A5" s="3" t="s">
        <v>76</v>
      </c>
      <c r="B5" s="7">
        <v>3.0</v>
      </c>
      <c r="C5" s="8">
        <v>0.7</v>
      </c>
      <c r="D5" s="8">
        <v>0.8</v>
      </c>
      <c r="E5" s="8">
        <v>0.9</v>
      </c>
      <c r="F5" s="8">
        <f t="shared" ref="F5:F12" si="1">C5*D5*E5</f>
        <v>0.504</v>
      </c>
    </row>
    <row r="6">
      <c r="A6" s="3" t="s">
        <v>77</v>
      </c>
      <c r="B6" s="7">
        <v>2.0</v>
      </c>
      <c r="C6" s="8">
        <v>0.7</v>
      </c>
      <c r="D6" s="8">
        <v>0.8</v>
      </c>
      <c r="E6" s="8">
        <v>0.1</v>
      </c>
      <c r="F6" s="8">
        <f t="shared" si="1"/>
        <v>0.056</v>
      </c>
    </row>
    <row r="7">
      <c r="A7" s="3" t="s">
        <v>78</v>
      </c>
      <c r="B7" s="7">
        <v>2.0</v>
      </c>
      <c r="C7" s="8">
        <v>0.7</v>
      </c>
      <c r="D7" s="8">
        <v>0.2</v>
      </c>
      <c r="E7" s="8">
        <v>0.7</v>
      </c>
      <c r="F7" s="8">
        <f t="shared" si="1"/>
        <v>0.098</v>
      </c>
    </row>
    <row r="8">
      <c r="A8" s="3" t="s">
        <v>79</v>
      </c>
      <c r="B8" s="7">
        <v>1.0</v>
      </c>
      <c r="C8" s="8">
        <v>0.7</v>
      </c>
      <c r="D8" s="8">
        <v>0.2</v>
      </c>
      <c r="E8" s="8">
        <v>0.3</v>
      </c>
      <c r="F8" s="8">
        <f t="shared" si="1"/>
        <v>0.042</v>
      </c>
    </row>
    <row r="9">
      <c r="A9" s="3" t="s">
        <v>80</v>
      </c>
      <c r="B9" s="7">
        <v>2.0</v>
      </c>
      <c r="C9" s="8">
        <v>0.3</v>
      </c>
      <c r="D9" s="8">
        <v>0.6</v>
      </c>
      <c r="E9" s="8">
        <v>0.7</v>
      </c>
      <c r="F9" s="8">
        <f t="shared" si="1"/>
        <v>0.126</v>
      </c>
    </row>
    <row r="10">
      <c r="A10" s="3" t="s">
        <v>81</v>
      </c>
      <c r="B10" s="7">
        <v>1.0</v>
      </c>
      <c r="C10" s="8">
        <v>0.3</v>
      </c>
      <c r="D10" s="8">
        <v>0.6</v>
      </c>
      <c r="E10" s="8">
        <v>0.3</v>
      </c>
      <c r="F10" s="8">
        <f t="shared" si="1"/>
        <v>0.054</v>
      </c>
    </row>
    <row r="11">
      <c r="A11" s="3" t="s">
        <v>82</v>
      </c>
      <c r="B11" s="7">
        <v>1.0</v>
      </c>
      <c r="C11" s="8">
        <v>0.3</v>
      </c>
      <c r="D11" s="8">
        <v>0.4</v>
      </c>
      <c r="E11" s="8">
        <v>0.5</v>
      </c>
      <c r="F11" s="8">
        <f t="shared" si="1"/>
        <v>0.06</v>
      </c>
    </row>
    <row r="12">
      <c r="A12" s="3" t="s">
        <v>83</v>
      </c>
      <c r="B12" s="7">
        <v>0.0</v>
      </c>
      <c r="C12" s="8">
        <v>0.3</v>
      </c>
      <c r="D12" s="8">
        <v>0.4</v>
      </c>
      <c r="E12" s="8">
        <v>0.5</v>
      </c>
      <c r="F12" s="8">
        <f t="shared" si="1"/>
        <v>0.06</v>
      </c>
    </row>
    <row r="13">
      <c r="A13" s="9" t="s">
        <v>84</v>
      </c>
      <c r="B13" s="3"/>
      <c r="C13" s="3"/>
      <c r="D13" s="3"/>
      <c r="E13" s="3"/>
      <c r="F13" s="10">
        <f>SUM(F5:F12)</f>
        <v>1</v>
      </c>
    </row>
    <row r="15">
      <c r="A15" s="5" t="s">
        <v>9</v>
      </c>
    </row>
    <row r="16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</row>
    <row r="17">
      <c r="A17" s="11">
        <v>0.0</v>
      </c>
      <c r="B17" s="8">
        <f t="shared" ref="B17:B20" si="2">SUMIF($B$5:$B$12,A17,$F$5:$F$12)</f>
        <v>0.06</v>
      </c>
      <c r="C17" s="8">
        <f t="shared" ref="C17:C20" si="3">SUM($B$17:B17)</f>
        <v>0.06</v>
      </c>
      <c r="D17" s="12">
        <f t="shared" ref="D17:D20" si="4">A17*B17</f>
        <v>0</v>
      </c>
      <c r="E17" s="12">
        <f t="shared" ref="E17:E20" si="5">A17^2*B17</f>
        <v>0</v>
      </c>
    </row>
    <row r="18">
      <c r="A18" s="11">
        <v>1.0</v>
      </c>
      <c r="B18" s="8">
        <f t="shared" si="2"/>
        <v>0.156</v>
      </c>
      <c r="C18" s="8">
        <f t="shared" si="3"/>
        <v>0.216</v>
      </c>
      <c r="D18" s="12">
        <f t="shared" si="4"/>
        <v>0.156</v>
      </c>
      <c r="E18" s="12">
        <f t="shared" si="5"/>
        <v>0.156</v>
      </c>
    </row>
    <row r="19">
      <c r="A19" s="11">
        <v>2.0</v>
      </c>
      <c r="B19" s="8">
        <f t="shared" si="2"/>
        <v>0.28</v>
      </c>
      <c r="C19" s="8">
        <f t="shared" si="3"/>
        <v>0.496</v>
      </c>
      <c r="D19" s="12">
        <f t="shared" si="4"/>
        <v>0.56</v>
      </c>
      <c r="E19" s="12">
        <f t="shared" si="5"/>
        <v>1.12</v>
      </c>
    </row>
    <row r="20">
      <c r="A20" s="11">
        <v>3.0</v>
      </c>
      <c r="B20" s="8">
        <f t="shared" si="2"/>
        <v>0.504</v>
      </c>
      <c r="C20" s="8">
        <f t="shared" si="3"/>
        <v>1</v>
      </c>
      <c r="D20" s="12">
        <f t="shared" si="4"/>
        <v>1.512</v>
      </c>
      <c r="E20" s="12">
        <f t="shared" si="5"/>
        <v>4.536</v>
      </c>
    </row>
    <row r="21">
      <c r="A21" s="9" t="s">
        <v>84</v>
      </c>
      <c r="B21" s="10">
        <f>SUM(B17:B20)</f>
        <v>1</v>
      </c>
      <c r="C21" s="3"/>
      <c r="D21" s="10">
        <f t="shared" ref="D21:E21" si="6">SUM(D17:D20)</f>
        <v>2.228</v>
      </c>
      <c r="E21" s="10">
        <f t="shared" si="6"/>
        <v>5.812</v>
      </c>
    </row>
    <row r="23">
      <c r="A23" s="5" t="s">
        <v>90</v>
      </c>
    </row>
    <row r="24">
      <c r="A24" s="3" t="s">
        <v>91</v>
      </c>
      <c r="B24" s="12">
        <f>D21</f>
        <v>2.228</v>
      </c>
    </row>
    <row r="25">
      <c r="A25" s="3" t="s">
        <v>92</v>
      </c>
      <c r="B25" s="12">
        <f>E21</f>
        <v>5.812</v>
      </c>
    </row>
    <row r="26">
      <c r="A26" s="3" t="s">
        <v>93</v>
      </c>
      <c r="B26" s="12">
        <f>B25-B24^2</f>
        <v>0.848016</v>
      </c>
    </row>
    <row r="27">
      <c r="A27" s="3" t="s">
        <v>94</v>
      </c>
      <c r="B27" s="12">
        <f>SQRT(B26)</f>
        <v>0.9208778421</v>
      </c>
    </row>
    <row r="29">
      <c r="A29" s="13" t="s">
        <v>95</v>
      </c>
    </row>
  </sheetData>
  <mergeCells count="5">
    <mergeCell ref="A1:F1"/>
    <mergeCell ref="A3:F3"/>
    <mergeCell ref="A15:E15"/>
    <mergeCell ref="A23:B23"/>
    <mergeCell ref="A29:F2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3" width="20.0"/>
    <col customWidth="1" min="4" max="4" width="18.0"/>
    <col customWidth="1" min="5" max="5" width="24.0"/>
  </cols>
  <sheetData>
    <row r="1">
      <c r="A1" s="1" t="s">
        <v>96</v>
      </c>
    </row>
    <row r="3">
      <c r="A3" s="14" t="s">
        <v>97</v>
      </c>
    </row>
    <row r="4">
      <c r="A4" s="2" t="s">
        <v>98</v>
      </c>
      <c r="B4" s="2" t="s">
        <v>99</v>
      </c>
      <c r="C4" s="2" t="s">
        <v>100</v>
      </c>
      <c r="D4" s="2" t="s">
        <v>101</v>
      </c>
    </row>
    <row r="5">
      <c r="A5" s="4" t="s">
        <v>102</v>
      </c>
      <c r="B5" s="8">
        <f>1/6</f>
        <v>0.1666666667</v>
      </c>
      <c r="C5" s="7">
        <v>90.0</v>
      </c>
      <c r="D5" s="12">
        <f t="shared" ref="D5:D8" si="1">B5*C5</f>
        <v>15</v>
      </c>
    </row>
    <row r="6">
      <c r="A6" s="4" t="s">
        <v>103</v>
      </c>
      <c r="B6" s="8">
        <f>(5/6)*(1/6)</f>
        <v>0.1388888889</v>
      </c>
      <c r="C6" s="7">
        <v>80.0</v>
      </c>
      <c r="D6" s="12">
        <f t="shared" si="1"/>
        <v>11.11111111</v>
      </c>
    </row>
    <row r="7">
      <c r="A7" s="4" t="s">
        <v>104</v>
      </c>
      <c r="B7" s="8">
        <f>(5/6)^2*(1/6)</f>
        <v>0.1157407407</v>
      </c>
      <c r="C7" s="7">
        <v>70.0</v>
      </c>
      <c r="D7" s="12">
        <f t="shared" si="1"/>
        <v>8.101851852</v>
      </c>
    </row>
    <row r="8">
      <c r="A8" s="4" t="s">
        <v>105</v>
      </c>
      <c r="B8" s="8">
        <f>(5/6)^3</f>
        <v>0.5787037037</v>
      </c>
      <c r="C8" s="7">
        <v>-30.0</v>
      </c>
      <c r="D8" s="12">
        <f t="shared" si="1"/>
        <v>-17.36111111</v>
      </c>
    </row>
    <row r="9">
      <c r="A9" s="9" t="s">
        <v>106</v>
      </c>
      <c r="B9" s="10">
        <f>SUM(B5:B8)</f>
        <v>1</v>
      </c>
      <c r="C9" s="3"/>
      <c r="D9" s="12">
        <f>SUM(D5:D8)</f>
        <v>16.85185185</v>
      </c>
    </row>
    <row r="11">
      <c r="A11" s="14" t="s">
        <v>107</v>
      </c>
    </row>
    <row r="12">
      <c r="A12" s="3" t="s">
        <v>108</v>
      </c>
      <c r="B12" s="7">
        <v>60.0</v>
      </c>
    </row>
    <row r="14">
      <c r="A14" s="2" t="s">
        <v>98</v>
      </c>
      <c r="B14" s="2" t="s">
        <v>99</v>
      </c>
      <c r="C14" s="2" t="s">
        <v>109</v>
      </c>
      <c r="D14" s="2" t="s">
        <v>101</v>
      </c>
      <c r="E14" s="2" t="s">
        <v>110</v>
      </c>
    </row>
    <row r="15">
      <c r="A15" s="4" t="s">
        <v>102</v>
      </c>
      <c r="B15" s="8">
        <f>1/6</f>
        <v>0.1666666667</v>
      </c>
      <c r="C15" s="7">
        <f>$B$12-10</f>
        <v>50</v>
      </c>
      <c r="D15" s="12">
        <f t="shared" ref="D15:D18" si="2">B15*C15</f>
        <v>8.333333333</v>
      </c>
      <c r="E15" s="12">
        <f t="shared" ref="E15:E18" si="3">B15*(C15-$D$19)^2</f>
        <v>416.6666667</v>
      </c>
    </row>
    <row r="16">
      <c r="A16" s="4" t="s">
        <v>103</v>
      </c>
      <c r="B16" s="8">
        <f>(5/6)*(1/6)</f>
        <v>0.1388888889</v>
      </c>
      <c r="C16" s="7">
        <f>$B$12-20</f>
        <v>40</v>
      </c>
      <c r="D16" s="12">
        <f t="shared" si="2"/>
        <v>5.555555556</v>
      </c>
      <c r="E16" s="12">
        <f t="shared" si="3"/>
        <v>222.2222222</v>
      </c>
    </row>
    <row r="17">
      <c r="A17" s="4" t="s">
        <v>104</v>
      </c>
      <c r="B17" s="8">
        <f>(5/6)^2*(1/6)</f>
        <v>0.1157407407</v>
      </c>
      <c r="C17" s="7">
        <f>$B$12-30</f>
        <v>30</v>
      </c>
      <c r="D17" s="12">
        <f t="shared" si="2"/>
        <v>3.472222222</v>
      </c>
      <c r="E17" s="12">
        <f t="shared" si="3"/>
        <v>104.1666667</v>
      </c>
    </row>
    <row r="18">
      <c r="A18" s="4" t="s">
        <v>105</v>
      </c>
      <c r="B18" s="8">
        <f>(5/6)^3</f>
        <v>0.5787037037</v>
      </c>
      <c r="C18" s="7">
        <v>-30.0</v>
      </c>
      <c r="D18" s="12">
        <f t="shared" si="2"/>
        <v>-17.36111111</v>
      </c>
      <c r="E18" s="12">
        <f t="shared" si="3"/>
        <v>520.8333333</v>
      </c>
    </row>
    <row r="19">
      <c r="A19" s="9" t="s">
        <v>111</v>
      </c>
      <c r="B19" s="10">
        <f>SUM(B15:B18)</f>
        <v>1</v>
      </c>
      <c r="C19" s="3"/>
      <c r="D19" s="12">
        <f t="shared" ref="D19:E19" si="4">SUM(D15:D18)</f>
        <v>0</v>
      </c>
      <c r="E19" s="12">
        <f t="shared" si="4"/>
        <v>1263.888889</v>
      </c>
    </row>
    <row r="21" ht="15.75" customHeight="1">
      <c r="A21" s="14" t="s">
        <v>90</v>
      </c>
    </row>
    <row r="22" ht="15.75" customHeight="1">
      <c r="A22" s="3" t="s">
        <v>112</v>
      </c>
      <c r="B22" s="12">
        <f>D9</f>
        <v>16.85185185</v>
      </c>
    </row>
    <row r="23" ht="15.75" customHeight="1">
      <c r="A23" s="3" t="s">
        <v>107</v>
      </c>
      <c r="B23" s="7">
        <f>B12</f>
        <v>60</v>
      </c>
    </row>
    <row r="24" ht="15.75" customHeight="1">
      <c r="A24" s="3" t="s">
        <v>113</v>
      </c>
      <c r="B24" s="12">
        <f>E19</f>
        <v>1263.888889</v>
      </c>
    </row>
    <row r="25" ht="15.75" customHeight="1">
      <c r="A25" s="3" t="s">
        <v>114</v>
      </c>
      <c r="B25" s="12">
        <f>SQRT(B24)</f>
        <v>35.55121501</v>
      </c>
    </row>
    <row r="26" ht="15.75" customHeight="1"/>
    <row r="27" ht="15.75" customHeight="1">
      <c r="A27" s="13" t="s">
        <v>115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7:E2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2" width="22.0"/>
    <col customWidth="1" min="3" max="3" width="42.0"/>
  </cols>
  <sheetData>
    <row r="1">
      <c r="A1" s="1" t="s">
        <v>116</v>
      </c>
    </row>
    <row r="3">
      <c r="A3" s="5" t="s">
        <v>117</v>
      </c>
    </row>
    <row r="4">
      <c r="A4" s="2" t="s">
        <v>118</v>
      </c>
      <c r="B4" s="2" t="s">
        <v>119</v>
      </c>
      <c r="C4" s="2" t="s">
        <v>120</v>
      </c>
    </row>
    <row r="5">
      <c r="A5" s="3" t="s">
        <v>121</v>
      </c>
      <c r="B5" s="7">
        <v>20.0</v>
      </c>
      <c r="C5" s="4" t="s">
        <v>122</v>
      </c>
    </row>
    <row r="6">
      <c r="A6" s="3" t="s">
        <v>123</v>
      </c>
      <c r="B6" s="7">
        <v>4.0</v>
      </c>
      <c r="C6" s="4" t="s">
        <v>124</v>
      </c>
    </row>
    <row r="7">
      <c r="A7" s="3" t="s">
        <v>125</v>
      </c>
      <c r="B7" s="7">
        <v>5.0</v>
      </c>
      <c r="C7" s="4" t="s">
        <v>126</v>
      </c>
    </row>
    <row r="8">
      <c r="A8" s="3" t="s">
        <v>127</v>
      </c>
      <c r="B8" s="8">
        <f>B6/B5</f>
        <v>0.2</v>
      </c>
      <c r="C8" s="4" t="s">
        <v>128</v>
      </c>
    </row>
    <row r="10">
      <c r="A10" s="5" t="s">
        <v>129</v>
      </c>
    </row>
    <row r="11">
      <c r="A11" s="3" t="s">
        <v>130</v>
      </c>
      <c r="B11" s="8">
        <f>1-BINOMDIST(0;$B$7;$B$8;TRUE)</f>
        <v>0.67232</v>
      </c>
      <c r="C11" s="8">
        <f>1-(1-$B$8)^$B$7</f>
        <v>0.67232</v>
      </c>
    </row>
    <row r="13">
      <c r="A13" s="5" t="s">
        <v>131</v>
      </c>
    </row>
    <row r="14">
      <c r="A14" s="3" t="s">
        <v>132</v>
      </c>
      <c r="B14" s="8">
        <f>1-HYPGEOMDIST(0;$B$7;$B$6;$B$5)</f>
        <v>0.7182662539</v>
      </c>
      <c r="C14" s="8">
        <f>1-COMBIN($B$5-$B$6;$B$7)/COMBIN($B$5;$B$7)</f>
        <v>0.7182662539</v>
      </c>
    </row>
    <row r="17">
      <c r="A17" s="5" t="s">
        <v>133</v>
      </c>
    </row>
    <row r="18">
      <c r="A18" s="2" t="s">
        <v>50</v>
      </c>
      <c r="B18" s="2" t="s">
        <v>51</v>
      </c>
      <c r="C18" s="2" t="s">
        <v>99</v>
      </c>
    </row>
    <row r="19">
      <c r="A19" s="3" t="s">
        <v>134</v>
      </c>
      <c r="B19" s="3" t="s">
        <v>37</v>
      </c>
      <c r="C19" s="8">
        <f>B11</f>
        <v>0.67232</v>
      </c>
    </row>
    <row r="20">
      <c r="A20" s="3" t="s">
        <v>135</v>
      </c>
      <c r="B20" s="3" t="s">
        <v>41</v>
      </c>
      <c r="C20" s="8">
        <f>B14</f>
        <v>0.7182662539</v>
      </c>
    </row>
    <row r="21" ht="15.75" customHeight="1"/>
    <row r="22" ht="15.75" customHeight="1">
      <c r="A22" s="13" t="s">
        <v>136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3:C3"/>
    <mergeCell ref="A10:B10"/>
    <mergeCell ref="A13:B13"/>
    <mergeCell ref="A17:C17"/>
    <mergeCell ref="A22:C2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cols>
    <col customWidth="1" min="1" max="1" width="32.0"/>
    <col customWidth="1" min="2" max="2" width="22.0"/>
    <col customWidth="1" min="3" max="3" width="64.0"/>
  </cols>
  <sheetData>
    <row r="1">
      <c r="A1" s="1" t="inlineStr">
        <is>
          <t>Ex4 - Chegadas de navios a um porto</t>
        </is>
      </c>
    </row>
    <row r="3">
      <c r="A3" s="5" t="inlineStr">
        <is>
          <t>Enunciado resumido</t>
        </is>
      </c>
    </row>
    <row r="4">
      <c r="A4" s="7" t="inlineStr">
        <is>
          <t>O número de chegadas de navios por dia segue Poisson. Dado P(X&lt;=1 | X&lt;=2)=0,60, determine a média diária e depois P(X&gt;=3 | X&gt;=2).</t>
        </is>
      </c>
    </row>
    <row r="6">
      <c r="A6" s="2" t="inlineStr">
        <is>
          <t>Parâmetro / medida</t>
        </is>
      </c>
      <c r="B6" s="2" t="inlineStr">
        <is>
          <t>Valor</t>
        </is>
      </c>
      <c r="C6" s="2" t="inlineStr">
        <is>
          <t>Fórmula / leitura</t>
        </is>
      </c>
    </row>
    <row r="7">
      <c r="A7" s="0" t="inlineStr">
        <is>
          <t>Distribuição</t>
        </is>
      </c>
      <c r="B7" s="7" t="inlineStr">
        <is>
          <t>X ~ Poisson(mu)</t>
        </is>
      </c>
      <c r="C7" s="7" t="inlineStr">
        <is>
          <t>Modelo de contagem diária</t>
        </is>
      </c>
    </row>
    <row r="8">
      <c r="A8" s="0" t="inlineStr">
        <is>
          <t>Condição dada</t>
        </is>
      </c>
      <c r="B8" s="3">
        <v>0.6</v>
      </c>
      <c r="C8" s="7" t="inlineStr">
        <is>
          <t>P(X&lt;=1 | X&lt;=2)</t>
        </is>
      </c>
    </row>
    <row r="9">
      <c r="A9" s="0" t="inlineStr">
        <is>
          <t>mu</t>
        </is>
      </c>
      <c r="B9" s="9">
        <v>2</v>
      </c>
      <c r="C9" s="7" t="inlineStr">
        <is>
          <t>Obtido de (1+mu)/(1+mu+mu^2/2)=0,60</t>
        </is>
      </c>
    </row>
    <row r="11">
      <c r="A11" s="5" t="inlineStr">
        <is>
          <t>Cálculo da condição do item a</t>
        </is>
      </c>
    </row>
    <row r="12">
      <c r="A12" s="2" t="inlineStr">
        <is>
          <t>P(X&lt;=1)</t>
        </is>
      </c>
      <c r="B12" s="3">
        <f>POISSON(1;$B$9;TRUE)</f>
      </c>
      <c r="C12" s="7" t="inlineStr">
        <is>
          <t>Função nativa Poisson acumulada</t>
        </is>
      </c>
    </row>
    <row r="13">
      <c r="A13" s="2" t="inlineStr">
        <is>
          <t>P(X&lt;=2)</t>
        </is>
      </c>
      <c r="B13" s="3">
        <f>POISSON(2;$B$9;TRUE)</f>
      </c>
      <c r="C13" s="7" t="inlineStr">
        <is>
          <t>Função nativa Poisson acumulada</t>
        </is>
      </c>
    </row>
    <row r="14">
      <c r="A14" s="2" t="inlineStr">
        <is>
          <t>P(X&lt;=1 | X&lt;=2)</t>
        </is>
      </c>
      <c r="B14" s="3">
        <f>B12/B13</f>
      </c>
      <c r="C14" s="7" t="inlineStr">
        <is>
          <t>Deve retornar 0,60</t>
        </is>
      </c>
    </row>
    <row r="16">
      <c r="A16" s="5" t="inlineStr">
        <is>
          <t>Item b</t>
        </is>
      </c>
    </row>
    <row r="17">
      <c r="A17" s="2" t="inlineStr">
        <is>
          <t>P(X&gt;=2)</t>
        </is>
      </c>
      <c r="B17" s="3">
        <f>1-POISSON(1;$B$9;TRUE)</f>
      </c>
      <c r="C17" s="7" t="inlineStr">
        <is>
          <t>Complemento de P(X&lt;=1)</t>
        </is>
      </c>
    </row>
    <row r="18">
      <c r="A18" s="2" t="inlineStr">
        <is>
          <t>P(X&gt;=3)</t>
        </is>
      </c>
      <c r="B18" s="3">
        <f>1-POISSON(2;$B$9;TRUE)</f>
      </c>
      <c r="C18" s="7" t="inlineStr">
        <is>
          <t>Complemento de P(X&lt;=2)</t>
        </is>
      </c>
    </row>
    <row r="19">
      <c r="A19" s="2" t="inlineStr">
        <is>
          <t>P(X&gt;=3 | X&gt;=2)</t>
        </is>
      </c>
      <c r="B19" s="3">
        <f>B18/B17</f>
      </c>
      <c r="C19" s="7" t="inlineStr">
        <is>
          <t>Probabilidade condicional pedida</t>
        </is>
      </c>
    </row>
    <row r="21">
      <c r="A21" s="5" t="inlineStr">
        <is>
          <t>Resultado</t>
        </is>
      </c>
      <c r="B21" s="4">
        <f>B19</f>
      </c>
      <c r="C21" s="7" t="inlineStr">
        <is>
          <t>Aproximadamente 54,43%</t>
        </is>
      </c>
    </row>
    <row r="23">
      <c r="A23" s="5" t="inlineStr">
        <is>
          <t>Alerta</t>
        </is>
      </c>
    </row>
    <row r="24">
      <c r="A24" s="10" t="inlineStr">
        <is>
          <t>O parâmetro mu não é escolhido arbitrariamente; ele é determinado pela condição P(X&lt;=1 | X&lt;=2)=0,60.</t>
        </is>
      </c>
    </row>
  </sheetData>
  <mergeCells count="3">
    <mergeCell ref="A1:C1"/>
    <mergeCell ref="A4:C4"/>
    <mergeCell ref="A24:C24"/>
  </mergeCells>
  <pageMargins left="0.75" right="0.75" top="1" bottom="1" header="0.5" footer="0.5"/>
</worksheet>
</file>