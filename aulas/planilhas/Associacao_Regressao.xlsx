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ceitos" sheetId="1" state="visible" r:id="rId1"/>
    <sheet xmlns:r="http://schemas.openxmlformats.org/officeDocument/2006/relationships" name="Ex1" sheetId="2" state="visible" r:id="rId2"/>
    <sheet xmlns:r="http://schemas.openxmlformats.org/officeDocument/2006/relationships" name="Ex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olor theme="1"/>
      <sz val="11"/>
      <scheme val="minor"/>
    </font>
    <font>
      <name val="Calibri"/>
      <b val="1"/>
      <color theme="1"/>
      <sz val="16"/>
      <scheme val="minor"/>
    </font>
    <font/>
    <font>
      <name val="Calibri"/>
      <color theme="1"/>
      <sz val="11"/>
    </font>
    <font>
      <name val="Calibri"/>
      <b val="1"/>
      <color theme="1"/>
      <sz val="14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Menlo"/>
      <color theme="1"/>
      <sz val="10"/>
    </font>
    <font>
      <name val="Calibri"/>
      <color theme="1"/>
      <sz val="14"/>
      <scheme val="minor"/>
    </font>
  </fonts>
  <fills count="3">
    <fill>
      <patternFill/>
    </fill>
    <fill>
      <patternFill patternType="lightGray"/>
    </fill>
    <fill>
      <patternFill patternType="solid">
        <fgColor rgb="FFF3F3F3"/>
        <bgColor rgb="FFF3F3F3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/>
      <right/>
      <top/>
      <bottom/>
    </border>
    <border>
      <left/>
      <top/>
    </border>
    <border>
      <top/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B7B7B7"/>
      </right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164" fontId="5" fillId="0" borderId="4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164" fontId="3" fillId="0" borderId="4" applyAlignment="1" pivotButton="0" quotePrefix="0" xfId="0">
      <alignment vertical="top" wrapText="1"/>
    </xf>
    <xf numFmtId="0" fontId="6" fillId="0" borderId="4" applyAlignment="1" pivotButton="0" quotePrefix="1" xfId="0">
      <alignment vertical="top" wrapText="1"/>
    </xf>
    <xf numFmtId="164" fontId="7" fillId="0" borderId="4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164" fontId="5" fillId="0" borderId="4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top" wrapText="1"/>
    </xf>
    <xf numFmtId="2" fontId="3" fillId="0" borderId="4" applyAlignment="1" pivotButton="0" quotePrefix="0" xfId="0">
      <alignment horizontal="center" vertical="top" wrapText="1"/>
    </xf>
    <xf numFmtId="1" fontId="3" fillId="0" borderId="4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2" fillId="0" borderId="6" pivotButton="0" quotePrefix="0" xfId="0"/>
    <xf numFmtId="0" fontId="2" fillId="0" borderId="7" pivotButton="0" quotePrefix="0" xfId="0"/>
    <xf numFmtId="164" fontId="5" fillId="2" borderId="4" applyAlignment="1" pivotButton="0" quotePrefix="0" xfId="0">
      <alignment horizontal="center" vertical="top" wrapText="1"/>
    </xf>
    <xf numFmtId="2" fontId="3" fillId="2" borderId="4" applyAlignment="1" pivotButton="0" quotePrefix="0" xfId="0">
      <alignment horizontal="center" vertical="top" wrapText="1"/>
    </xf>
    <xf numFmtId="1" fontId="3" fillId="2" borderId="4" applyAlignment="1" pivotButton="0" quotePrefix="0" xfId="0">
      <alignment horizontal="center" vertical="top" wrapText="1"/>
    </xf>
    <xf numFmtId="2" fontId="6" fillId="2" borderId="4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164" fontId="6" fillId="0" borderId="0" applyAlignment="1" pivotButton="0" quotePrefix="0" xfId="0">
      <alignment horizontal="center" vertical="top" wrapText="1"/>
    </xf>
    <xf numFmtId="0" fontId="3" fillId="0" borderId="4" applyAlignment="1" pivotButton="0" quotePrefix="0" xfId="0">
      <alignment vertical="top" wrapText="1"/>
    </xf>
    <xf numFmtId="164" fontId="3" fillId="0" borderId="0" applyAlignment="1" pivotButton="0" quotePrefix="0" xfId="0">
      <alignment horizontal="center" vertical="top" wrapText="1"/>
    </xf>
    <xf numFmtId="0" fontId="6" fillId="0" borderId="4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4" fillId="0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8" fillId="0" borderId="0" pivotButton="0" quotePrefix="0" xfId="0"/>
    <xf numFmtId="0" fontId="6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5" fillId="0" borderId="8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2" fillId="0" borderId="10" pivotButton="0" quotePrefix="0" xfId="0"/>
    <xf numFmtId="164" fontId="5" fillId="0" borderId="4" applyAlignment="1" pivotButton="0" quotePrefix="0" xfId="0">
      <alignment horizontal="center" vertical="top" wrapText="1"/>
    </xf>
    <xf numFmtId="3" fontId="3" fillId="0" borderId="4" applyAlignment="1" pivotButton="0" quotePrefix="0" xfId="0">
      <alignment horizontal="center" vertical="top" wrapText="1"/>
    </xf>
    <xf numFmtId="164" fontId="6" fillId="0" borderId="4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0" borderId="8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4" fillId="0" borderId="11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Relação entre Peso e Altura</a:t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'Ex1'!$C$22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  <a:prstDash val="solid"/>
              </a:ln>
            </spPr>
          </marker>
          <dPt>
            <idx val="4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spPr>
              <a:ln xmlns:a="http://schemas.openxmlformats.org/drawingml/2006/main">
                <a:prstDash val="solid"/>
              </a:ln>
            </spPr>
          </dPt>
          <trendline>
            <spPr>
              <a:ln xmlns:a="http://schemas.openxmlformats.org/drawingml/2006/main" w="1905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</trendline>
          <xVal>
            <numRef>
              <f>'Ex1'!$B$23:$B$30</f>
            </numRef>
          </xVal>
          <yVal>
            <numRef>
              <f>'Ex1'!$C$23:$C$30</f>
              <numCache/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99376137"/>
        <axId val="1546005785"/>
      </scatterChart>
      <valAx>
        <axId val="1399376137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546005785"/>
      </valAx>
      <valAx>
        <axId val="154600578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99376137"/>
        <majorUnit val="25"/>
        <minorUnit val="8.333333333333334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Ex1: Residuos vs previsto</a:t>
            </a:r>
          </a:p>
        </rich>
      </tx>
      <overlay val="0"/>
    </title>
    <plotArea>
      <layout/>
      <scatterChart>
        <scatterStyle val="marker"/>
        <varyColors val="0"/>
        <ser>
          <idx val="0"/>
          <order val="0"/>
          <tx>
            <v>Ex1: Residuos vs previsto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'Ex1'!$I$23:$I$30</f>
            </numRef>
          </xVal>
          <yVal>
            <numRef>
              <f>'Ex1'!$J$23:$J$30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310001"/>
        <axId val="310002"/>
      </scatterChart>
      <valAx>
        <axId val="310001"/>
        <scaling>
          <orientation val="minMax"/>
        </scaling>
        <delete val="0"/>
        <axPos val="b"/>
        <majorGridlines/>
        <numFmt formatCode="General" sourceLinked="1"/>
        <majorTickMark val="none"/>
        <minorTickMark val="none"/>
        <tickLblPos val="nextTo"/>
        <crossAx val="310002"/>
      </valAx>
      <valAx>
        <axId val="310002"/>
        <scaling>
          <orientation val="minMax"/>
        </scaling>
        <delete val="0"/>
        <axPos val="l"/>
        <majorGridlines/>
        <numFmt formatCode="General" sourceLinked="1"/>
        <majorTickMark val="none"/>
        <minorTickMark val="none"/>
        <tickLblPos val="nextTo"/>
        <crossAx val="310001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Ex1: Residuos vs altura</a:t>
            </a:r>
          </a:p>
        </rich>
      </tx>
      <overlay val="0"/>
    </title>
    <plotArea>
      <layout/>
      <scatterChart>
        <scatterStyle val="marker"/>
        <varyColors val="0"/>
        <ser>
          <idx val="0"/>
          <order val="0"/>
          <tx>
            <v>Ex1: Residuos vs altura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'Ex1'!$B$23:$B$30</f>
            </numRef>
          </xVal>
          <yVal>
            <numRef>
              <f>'Ex1'!$J$23:$J$30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310003"/>
        <axId val="310004"/>
      </scatterChart>
      <valAx>
        <axId val="310003"/>
        <scaling>
          <orientation val="minMax"/>
        </scaling>
        <delete val="0"/>
        <axPos val="b"/>
        <majorGridlines/>
        <numFmt formatCode="General" sourceLinked="1"/>
        <majorTickMark val="none"/>
        <minorTickMark val="none"/>
        <tickLblPos val="nextTo"/>
        <crossAx val="310004"/>
      </valAx>
      <valAx>
        <axId val="310004"/>
        <scaling>
          <orientation val="minMax"/>
        </scaling>
        <delete val="0"/>
        <axPos val="l"/>
        <majorGridlines/>
        <numFmt formatCode="General" sourceLinked="1"/>
        <majorTickMark val="none"/>
        <minorTickMark val="none"/>
        <tickLblPos val="nextTo"/>
        <crossAx val="310003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Ex1: Residuos padronizados</a:t>
            </a:r>
          </a:p>
        </rich>
      </tx>
      <overlay val="0"/>
    </title>
    <plotArea>
      <layout/>
      <scatterChart>
        <scatterStyle val="marker"/>
        <varyColors val="0"/>
        <ser>
          <idx val="0"/>
          <order val="0"/>
          <tx>
            <v>Ex1: Residuos padronizados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'Ex1'!$B$23:$B$30</f>
            </numRef>
          </xVal>
          <yVal>
            <numRef>
              <f>'Ex1'!$O$23:$O$30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310005"/>
        <axId val="310006"/>
      </scatterChart>
      <valAx>
        <axId val="310005"/>
        <scaling>
          <orientation val="minMax"/>
        </scaling>
        <delete val="0"/>
        <axPos val="b"/>
        <majorGridlines/>
        <numFmt formatCode="General" sourceLinked="1"/>
        <majorTickMark val="none"/>
        <minorTickMark val="none"/>
        <tickLblPos val="nextTo"/>
        <crossAx val="310006"/>
      </valAx>
      <valAx>
        <axId val="310006"/>
        <scaling>
          <orientation val="minMax"/>
        </scaling>
        <delete val="0"/>
        <axPos val="l"/>
        <majorGridlines/>
        <numFmt formatCode="General" sourceLinked="1"/>
        <majorTickMark val="none"/>
        <minorTickMark val="none"/>
        <tickLblPos val="nextTo"/>
        <crossAx val="310005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Relação entre Número de Pofessor e Número de Aunos</a:t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'Ex2'!$C$11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</trendline>
          <xVal>
            <numRef>
              <f>'Ex2'!$B$12:$B$42</f>
            </numRef>
          </xVal>
          <yVal>
            <numRef>
              <f>'Ex2'!$C$12:$C$42</f>
              <numCache/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290051198"/>
        <axId val="1370633205"/>
      </scatterChart>
      <valAx>
        <axId val="290051198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70633205"/>
      </valAx>
      <valAx>
        <axId val="137063320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90051198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Ex2: Residuos vs previsto</a:t>
            </a:r>
          </a:p>
        </rich>
      </tx>
      <overlay val="0"/>
    </title>
    <plotArea>
      <layout/>
      <scatterChart>
        <scatterStyle val="marker"/>
        <varyColors val="0"/>
        <ser>
          <idx val="0"/>
          <order val="0"/>
          <tx>
            <v>Ex2: Residuos vs previsto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'Ex2'!$I$12:$I$42</f>
            </numRef>
          </xVal>
          <yVal>
            <numRef>
              <f>'Ex2'!$J$12:$J$42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320001"/>
        <axId val="320002"/>
      </scatterChart>
      <valAx>
        <axId val="320001"/>
        <scaling>
          <orientation val="minMax"/>
        </scaling>
        <delete val="0"/>
        <axPos val="b"/>
        <majorGridlines/>
        <numFmt formatCode="General" sourceLinked="1"/>
        <majorTickMark val="none"/>
        <minorTickMark val="none"/>
        <tickLblPos val="nextTo"/>
        <crossAx val="320002"/>
      </valAx>
      <valAx>
        <axId val="320002"/>
        <scaling>
          <orientation val="minMax"/>
        </scaling>
        <delete val="0"/>
        <axPos val="l"/>
        <majorGridlines/>
        <numFmt formatCode="General" sourceLinked="1"/>
        <majorTickMark val="none"/>
        <minorTickMark val="none"/>
        <tickLblPos val="nextTo"/>
        <crossAx val="320001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Ex2: Residuos vs alunos</a:t>
            </a:r>
          </a:p>
        </rich>
      </tx>
      <overlay val="0"/>
    </title>
    <plotArea>
      <layout/>
      <scatterChart>
        <scatterStyle val="marker"/>
        <varyColors val="0"/>
        <ser>
          <idx val="0"/>
          <order val="0"/>
          <tx>
            <v>Ex2: Residuos vs alunos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'Ex2'!$B$12:$B$42</f>
            </numRef>
          </xVal>
          <yVal>
            <numRef>
              <f>'Ex2'!$J$12:$J$42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320003"/>
        <axId val="320004"/>
      </scatterChart>
      <valAx>
        <axId val="320003"/>
        <scaling>
          <orientation val="minMax"/>
        </scaling>
        <delete val="0"/>
        <axPos val="b"/>
        <majorGridlines/>
        <numFmt formatCode="General" sourceLinked="1"/>
        <majorTickMark val="none"/>
        <minorTickMark val="none"/>
        <tickLblPos val="nextTo"/>
        <crossAx val="320004"/>
      </valAx>
      <valAx>
        <axId val="320004"/>
        <scaling>
          <orientation val="minMax"/>
        </scaling>
        <delete val="0"/>
        <axPos val="l"/>
        <majorGridlines/>
        <numFmt formatCode="General" sourceLinked="1"/>
        <majorTickMark val="none"/>
        <minorTickMark val="none"/>
        <tickLblPos val="nextTo"/>
        <crossAx val="320003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Ex2: Residuos padronizados</a:t>
            </a:r>
          </a:p>
        </rich>
      </tx>
      <overlay val="0"/>
    </title>
    <plotArea>
      <layout/>
      <scatterChart>
        <scatterStyle val="marker"/>
        <varyColors val="0"/>
        <ser>
          <idx val="0"/>
          <order val="0"/>
          <tx>
            <v>Ex2: Residuos padronizados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'Ex2'!$B$12:$B$42</f>
            </numRef>
          </xVal>
          <yVal>
            <numRef>
              <f>'Ex2'!$O$12:$O$42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320005"/>
        <axId val="320006"/>
      </scatterChart>
      <valAx>
        <axId val="320005"/>
        <scaling>
          <orientation val="minMax"/>
        </scaling>
        <delete val="0"/>
        <axPos val="b"/>
        <majorGridlines/>
        <numFmt formatCode="General" sourceLinked="1"/>
        <majorTickMark val="none"/>
        <minorTickMark val="none"/>
        <tickLblPos val="nextTo"/>
        <crossAx val="320006"/>
      </valAx>
      <valAx>
        <axId val="320006"/>
        <scaling>
          <orientation val="minMax"/>
        </scaling>
        <delete val="0"/>
        <axPos val="l"/>
        <majorGridlines/>
        <numFmt formatCode="General" sourceLinked="1"/>
        <majorTickMark val="none"/>
        <minorTickMark val="none"/>
        <tickLblPos val="nextTo"/>
        <crossAx val="320005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drawing1.xml><?xml version="1.0" encoding="utf-8"?>
<wsDr xmlns="http://schemas.openxmlformats.org/drawingml/2006/spreadsheetDrawing">
  <oneCellAnchor>
    <from>
      <col>4</col>
      <colOff>619125</colOff>
      <row>29</row>
      <rowOff>171450</rowOff>
    </from>
    <ext cx="5715000" cy="37814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4</col>
      <colOff>0</colOff>
      <row>94</row>
      <rowOff>0</rowOff>
    </from>
    <ext cx="5715000" cy="3429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4</col>
      <colOff>0</colOff>
      <row>112</row>
      <rowOff>0</rowOff>
    </from>
    <ext cx="5715000" cy="3429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4</col>
      <colOff>0</colOff>
      <row>130</row>
      <rowOff>0</rowOff>
    </from>
    <ext cx="5715000" cy="3429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5</col>
      <colOff>171450</colOff>
      <row>42</row>
      <rowOff>38100</rowOff>
    </from>
    <ext cx="5715000" cy="37623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</col>
      <colOff>0</colOff>
      <row>87</row>
      <rowOff>0</rowOff>
    </from>
    <ext cx="5715000" cy="3429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</col>
      <colOff>0</colOff>
      <row>105</row>
      <rowOff>0</rowOff>
    </from>
    <ext cx="5715000" cy="3429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5</col>
      <colOff>0</colOff>
      <row>123</row>
      <rowOff>0</rowOff>
    </from>
    <ext cx="5715000" cy="3429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ColWidth="14.43" defaultRowHeight="15" customHeight="1"/>
  <cols>
    <col width="25" customWidth="1" style="53" min="1" max="1"/>
    <col width="48" customWidth="1" style="53" min="2" max="2"/>
    <col width="58" customWidth="1" style="53" min="3" max="3"/>
    <col width="62.86" customWidth="1" style="53" min="4" max="4"/>
    <col width="58" customWidth="1" style="53" min="5" max="5"/>
    <col width="42" customWidth="1" style="53" min="6" max="6"/>
    <col width="8.710000000000001" customWidth="1" style="53" min="7" max="26"/>
  </cols>
  <sheetData>
    <row r="1">
      <c r="A1" s="54" t="inlineStr">
        <is>
          <t>Revisao Pearson, Regressao Linear Simples e ANOVA</t>
        </is>
      </c>
    </row>
    <row r="2">
      <c r="A2" s="24" t="n"/>
      <c r="B2" s="5" t="n"/>
      <c r="C2" s="5" t="n"/>
      <c r="D2" s="5" t="n"/>
      <c r="E2" s="5" t="n"/>
      <c r="F2" s="5" t="n"/>
    </row>
    <row r="3">
      <c r="A3" s="55" t="inlineStr">
        <is>
          <t>Sequencia metodologica da revisao</t>
        </is>
      </c>
    </row>
    <row r="4">
      <c r="A4" s="24" t="inlineStr">
        <is>
          <t>1. Definir a variavel explicativa x e a variavel resposta y.</t>
        </is>
      </c>
    </row>
    <row r="5">
      <c r="A5" s="24" t="inlineStr">
        <is>
          <t>2. Observar o diagrama de dispersao antes dos calculos.</t>
        </is>
      </c>
    </row>
    <row r="6">
      <c r="A6" s="24" t="inlineStr">
        <is>
          <t>3. Calcular medias de x e y.</t>
        </is>
      </c>
    </row>
    <row r="7">
      <c r="A7" s="24" t="inlineStr">
        <is>
          <t>4. Calcular desvios em relacao as medias.</t>
        </is>
      </c>
    </row>
    <row r="8">
      <c r="A8" s="24" t="inlineStr">
        <is>
          <t>5. Calcular somatorios: produtos dos desvios e quadrados dos desvios.</t>
        </is>
      </c>
    </row>
    <row r="9">
      <c r="A9" s="24" t="inlineStr">
        <is>
          <t>6. Calcular a correlacao de Pearson r.</t>
        </is>
      </c>
    </row>
    <row r="10">
      <c r="A10" s="24" t="inlineStr">
        <is>
          <t>7. Ajustar a reta y_chapeu = a + b*x.</t>
        </is>
      </c>
    </row>
    <row r="11">
      <c r="A11" s="24" t="inlineStr">
        <is>
          <t>8. Calcular valores previstos e residuos.</t>
        </is>
      </c>
    </row>
    <row r="12">
      <c r="A12" s="24" t="inlineStr">
        <is>
          <t>9. Decompor a variabilidade via ANOVA da regressao.</t>
        </is>
      </c>
    </row>
    <row r="13">
      <c r="A13" s="24" t="inlineStr">
        <is>
          <t>10. Validar com funcoes prontas do Google Planilhas.</t>
        </is>
      </c>
    </row>
    <row r="14">
      <c r="A14" s="24" t="inlineStr">
        <is>
          <t>11. Interpretar criticamente: associacao, escala, residuos e valores atipicos/outliers.</t>
        </is>
      </c>
    </row>
    <row r="15">
      <c r="A15" s="24" t="n"/>
      <c r="B15" s="5" t="n"/>
      <c r="C15" s="5" t="n"/>
      <c r="D15" s="5" t="n"/>
      <c r="E15" s="5" t="n"/>
      <c r="F15" s="5" t="n"/>
    </row>
    <row r="16">
      <c r="A16" s="55" t="inlineStr">
        <is>
          <t>Formulas com calculo manual, formula pronta e parametros</t>
        </is>
      </c>
    </row>
    <row r="17">
      <c r="A17" s="17" t="inlineStr">
        <is>
          <t>Topico</t>
        </is>
      </c>
      <c r="B17" s="8" t="inlineStr">
        <is>
          <t>Formula conceitual</t>
        </is>
      </c>
      <c r="C17" s="8" t="inlineStr">
        <is>
          <t>Calculo manual por somatorios</t>
        </is>
      </c>
      <c r="D17" s="8" t="inlineStr">
        <is>
          <t>Formula pronta Google Planilhas</t>
        </is>
      </c>
      <c r="E17" s="8" t="inlineStr">
        <is>
          <t>Parametros</t>
        </is>
      </c>
      <c r="F17" s="8" t="inlineStr">
        <is>
          <t>Cuidado didatico</t>
        </is>
      </c>
    </row>
    <row r="18">
      <c r="A18" s="34" t="inlineStr">
        <is>
          <t>Correlacao de Pearson</t>
        </is>
      </c>
      <c r="B18" s="10" t="inlineStr">
        <is>
          <t>r = SOMA[(x_i-x_barra)(y_i-y_barra)] / RAIZ(SOMA(x_i-x_barra)^2*SOMA(y_i-y_barra)^2)</t>
        </is>
      </c>
      <c r="C18" s="10" t="inlineStr">
        <is>
          <t>Criar dx, dy, dx*dy, dx^2, dy^2; depois SOMA(dx*dy)/RAIZ(SOMA(dx^2)*SOMA(dy^2)).</t>
        </is>
      </c>
      <c r="D18" s="11" t="inlineStr">
        <is>
          <t>=CORREL(intervalo_y; intervalo_x)'</t>
        </is>
      </c>
      <c r="E18" s="10" t="inlineStr">
        <is>
          <t>intervalo_x: variavel explicativa; intervalo_y: variavel resposta.</t>
        </is>
      </c>
      <c r="F18" s="10" t="inlineStr">
        <is>
          <t>Mede associacao linear, nao causalidade.</t>
        </is>
      </c>
    </row>
    <row r="19">
      <c r="A19" s="34" t="inlineStr">
        <is>
          <t>Regressao linear simples</t>
        </is>
      </c>
      <c r="B19" s="10" t="inlineStr">
        <is>
          <t>y_chapeu = a + b*x</t>
        </is>
      </c>
      <c r="C19" s="10" t="inlineStr">
        <is>
          <t>Calcular b e a pelos somatorios; depois y_chapeu_i = a + b*x_i.</t>
        </is>
      </c>
      <c r="D19" s="11" t="inlineStr">
        <is>
          <t xml:space="preserve">=SLOPE(intervalo_y; intervalo_x) e =INTERCEPT(intervalo_y; intervalo_x)'
</t>
        </is>
      </c>
      <c r="E19" s="10" t="inlineStr">
        <is>
          <t>SLOPE retorna b; INTERCEPT retorna a.</t>
        </is>
      </c>
      <c r="F19" s="10" t="inlineStr">
        <is>
          <t>Descreve tendencia media condicional, nao prova causa.</t>
        </is>
      </c>
    </row>
    <row r="20">
      <c r="A20" s="34" t="inlineStr">
        <is>
          <t>Inclinação b</t>
        </is>
      </c>
      <c r="B20" s="10" t="inlineStr">
        <is>
          <t>b = SOMA[(x_i-x_barra)(y_i-y_barra)] / SOMA(x_i-x_barra)^2</t>
        </is>
      </c>
      <c r="C20" s="10" t="inlineStr">
        <is>
          <t>Dividir a soma dos produtos dos desvios pela soma dos quadrados dos desvios de x.</t>
        </is>
      </c>
      <c r="D20" s="11" t="inlineStr">
        <is>
          <t>=INCLINAÇÃO(intervalo_y; intervalo_x)'</t>
        </is>
      </c>
      <c r="E20" s="10" t="inlineStr">
        <is>
          <t>b tem unidade de y por unidade de x.</t>
        </is>
      </c>
      <c r="F20" s="10" t="inlineStr">
        <is>
          <t>Interpretar em escala compreensivel.</t>
        </is>
      </c>
    </row>
    <row r="21">
      <c r="A21" s="34" t="inlineStr">
        <is>
          <t>Intercepto a</t>
        </is>
      </c>
      <c r="B21" s="10" t="inlineStr">
        <is>
          <t>a = y_barra - b*x_barra</t>
        </is>
      </c>
      <c r="C21" s="10" t="inlineStr">
        <is>
          <t>Usar media de y, inclinacao b e media de x.</t>
        </is>
      </c>
      <c r="D21" s="11" t="inlineStr">
        <is>
          <t>=INTERCEPÇÃO(intervalo_y; intervalo_x)'</t>
        </is>
      </c>
      <c r="E21" s="10" t="inlineStr">
        <is>
          <t>a e o valor previsto quando x=0.</t>
        </is>
      </c>
      <c r="F21" s="10" t="inlineStr">
        <is>
          <t>Pode ser apenas parametro tecnico.</t>
        </is>
      </c>
    </row>
    <row r="22">
      <c r="A22" s="34" t="inlineStr">
        <is>
          <t>Previstos e residuos</t>
        </is>
      </c>
      <c r="B22" s="10" t="inlineStr">
        <is>
          <t>y_chapeu_i = a + b*x_i; e_i = y_i - y_chapeu_i</t>
        </is>
      </c>
      <c r="C22" s="10" t="inlineStr">
        <is>
          <t>Criar colunas y_chapeu, residuo, residuo^2 e (y_chapeu-y_barra)^2.</t>
        </is>
      </c>
      <c r="D22" s="12" t="inlineStr">
        <is>
          <t>Sem funcao pronta necessaria.</t>
        </is>
      </c>
      <c r="E22" s="10" t="inlineStr">
        <is>
          <t>e_i positivo: observado acima do previsto; e_i negativo: observado abaixo.</t>
        </is>
      </c>
      <c r="F22" s="10" t="inlineStr">
        <is>
          <t>Residuos ajudam a avaliar ajuste.</t>
        </is>
      </c>
    </row>
    <row r="23">
      <c r="A23" s="34" t="inlineStr">
        <is>
          <t>Coeficiente de determinacao</t>
        </is>
      </c>
      <c r="B23" s="10" t="inlineStr">
        <is>
          <t>R2 = SQReg/SQTot = 1 - SQRes/SQTot; em regressao simples com intercepto, R2 = r^2</t>
        </is>
      </c>
      <c r="C23" s="10" t="inlineStr">
        <is>
          <t>Calcular SQTot, SQReg e SQRes a partir das colunas auxiliares.</t>
        </is>
      </c>
      <c r="D23" s="11" t="inlineStr">
        <is>
          <t>=RQUAD(intervalo_y; intervalo_x)'</t>
        </is>
      </c>
      <c r="E23" s="10" t="inlineStr">
        <is>
          <t>RSQ retorna R2.</t>
        </is>
      </c>
      <c r="F23" s="10" t="inlineStr">
        <is>
          <t>R2 alto nao garante modelo adequado.</t>
        </is>
      </c>
    </row>
    <row r="24">
      <c r="A24" s="34" t="inlineStr">
        <is>
          <t>ANOVA da regressao</t>
        </is>
      </c>
      <c r="B24" s="10" t="inlineStr">
        <is>
          <t>SQTot = SQReg + SQRes; F = QMReg/QMRes</t>
        </is>
      </c>
      <c r="C24" s="10" t="inlineStr">
        <is>
          <t>SQTot=SOMA((y_i-y_barra)^2); SQReg=SOMA((y_chapeu_i-y_barra)^2); SQRes=SOMA(e_i^2); glReg=1; glRes=n-2; QMReg=SQReg/glReg; QMRes=SQRes/glRes; F=QMReg/QMRes.</t>
        </is>
      </c>
      <c r="D24" s="11" t="inlineStr">
        <is>
          <t>=ÍNDICE(PROJ.LIN(intervalo_y; intervalo_x; VERDADEIRO; VERDADEIRO); 4; 1)'</t>
        </is>
      </c>
      <c r="E24" s="10" t="inlineStr">
        <is>
          <t>LINEST com estatisticas retorna matriz; linha 4, coluna 1 e a estatistica F.</t>
        </is>
      </c>
      <c r="F24" s="10" t="inlineStr">
        <is>
          <t>Aqui a ANOVA decompoe variabilidade e valida F, sem teste de significancia.</t>
        </is>
      </c>
    </row>
    <row r="25">
      <c r="A25" s="24" t="n"/>
      <c r="B25" s="5" t="n"/>
      <c r="C25" s="5" t="n"/>
      <c r="D25" s="5" t="n"/>
      <c r="E25" s="5" t="n"/>
      <c r="F25" s="5" t="n"/>
    </row>
    <row r="26">
      <c r="A26" s="55" t="inlineStr">
        <is>
          <t>Discriminacao dos simbolos e contextualizacao</t>
        </is>
      </c>
    </row>
    <row r="27">
      <c r="A27" s="17" t="inlineStr">
        <is>
          <t>Simbolo</t>
        </is>
      </c>
      <c r="B27" s="8" t="inlineStr">
        <is>
          <t>Significado</t>
        </is>
      </c>
      <c r="C27" s="8" t="inlineStr">
        <is>
          <t>Uso nesta revisao</t>
        </is>
      </c>
      <c r="D27" s="5" t="n"/>
      <c r="E27" s="5" t="n"/>
      <c r="F27" s="5" t="n"/>
    </row>
    <row r="28">
      <c r="A28" s="34" t="inlineStr">
        <is>
          <t>x_i</t>
        </is>
      </c>
      <c r="B28" s="10" t="inlineStr">
        <is>
          <t>valor observado da variavel explicativa no caso i</t>
        </is>
      </c>
      <c r="C28" s="10" t="inlineStr">
        <is>
          <t>Ex 1: altura; Ex 2: alunos</t>
        </is>
      </c>
      <c r="D28" s="5" t="n"/>
      <c r="E28" s="5" t="n"/>
      <c r="F28" s="5" t="n"/>
    </row>
    <row r="29">
      <c r="A29" s="34" t="inlineStr">
        <is>
          <t>y_i</t>
        </is>
      </c>
      <c r="B29" s="10" t="inlineStr">
        <is>
          <t>valor observado da variavel resposta no caso i</t>
        </is>
      </c>
      <c r="C29" s="10" t="inlineStr">
        <is>
          <t>Ex 1: peso; Ex 2: professores</t>
        </is>
      </c>
      <c r="D29" s="5" t="n"/>
      <c r="E29" s="5" t="n"/>
      <c r="F29" s="5" t="n"/>
    </row>
    <row r="30">
      <c r="A30" s="34" t="inlineStr">
        <is>
          <t>n</t>
        </is>
      </c>
      <c r="B30" s="10" t="inlineStr">
        <is>
          <t>numero de observacoes</t>
        </is>
      </c>
      <c r="C30" s="10" t="inlineStr">
        <is>
          <t>Ex 1: 8 com todos; 7 sem Silvio; Ex 2: 31</t>
        </is>
      </c>
      <c r="D30" s="5" t="n"/>
      <c r="E30" s="5" t="n"/>
      <c r="F30" s="5" t="n"/>
    </row>
    <row r="31">
      <c r="A31" s="34" t="inlineStr">
        <is>
          <t>x_barra</t>
        </is>
      </c>
      <c r="B31" s="10" t="inlineStr">
        <is>
          <t>media de x</t>
        </is>
      </c>
      <c r="C31" s="10" t="inlineStr">
        <is>
          <t>referencia para desvios de x</t>
        </is>
      </c>
      <c r="D31" s="5" t="n"/>
      <c r="E31" s="5" t="n"/>
      <c r="F31" s="5" t="n"/>
    </row>
    <row r="32">
      <c r="A32" s="34" t="inlineStr">
        <is>
          <t>y_barra</t>
        </is>
      </c>
      <c r="B32" s="10" t="inlineStr">
        <is>
          <t>media de y</t>
        </is>
      </c>
      <c r="C32" s="10" t="inlineStr">
        <is>
          <t>referencia para desvios de y</t>
        </is>
      </c>
      <c r="D32" s="5" t="n"/>
      <c r="E32" s="5" t="n"/>
      <c r="F32" s="5" t="n"/>
    </row>
    <row r="33">
      <c r="A33" s="34" t="inlineStr">
        <is>
          <t>r</t>
        </is>
      </c>
      <c r="B33" s="10" t="inlineStr">
        <is>
          <t>coeficiente de correlacao de Pearson</t>
        </is>
      </c>
      <c r="C33" s="10" t="inlineStr">
        <is>
          <t>direcao e forca da associacao linear</t>
        </is>
      </c>
      <c r="D33" s="5" t="n"/>
      <c r="E33" s="5" t="n"/>
      <c r="F33" s="5" t="n"/>
    </row>
    <row r="34">
      <c r="A34" s="34" t="inlineStr">
        <is>
          <t>a</t>
        </is>
      </c>
      <c r="B34" s="10" t="inlineStr">
        <is>
          <t>intercepto da reta</t>
        </is>
      </c>
      <c r="C34" s="10" t="inlineStr">
        <is>
          <t>valor previsto quando x=0</t>
        </is>
      </c>
      <c r="D34" s="5" t="n"/>
      <c r="E34" s="5" t="n"/>
      <c r="F34" s="5" t="n"/>
    </row>
    <row r="35">
      <c r="A35" s="34" t="inlineStr">
        <is>
          <t>b</t>
        </is>
      </c>
      <c r="B35" s="10" t="inlineStr">
        <is>
          <t>coeficiente angular</t>
        </is>
      </c>
      <c r="C35" s="10" t="inlineStr">
        <is>
          <t>variacao media prevista em y por unidade de x</t>
        </is>
      </c>
      <c r="D35" s="5" t="n"/>
      <c r="E35" s="5" t="n"/>
      <c r="F35" s="5" t="n"/>
    </row>
    <row r="36">
      <c r="A36" s="34" t="inlineStr">
        <is>
          <t>y_chapeu_i</t>
        </is>
      </c>
      <c r="B36" s="10" t="inlineStr">
        <is>
          <t>valor previsto pelo modelo</t>
        </is>
      </c>
      <c r="C36" s="10" t="inlineStr">
        <is>
          <t>usado em residuos e ANOVA</t>
        </is>
      </c>
      <c r="D36" s="5" t="n"/>
      <c r="E36" s="5" t="n"/>
      <c r="F36" s="5" t="n"/>
    </row>
    <row r="37">
      <c r="A37" s="34" t="inlineStr">
        <is>
          <t>e_i</t>
        </is>
      </c>
      <c r="B37" s="10" t="inlineStr">
        <is>
          <t>residuo y_i - y_chapeu_i</t>
        </is>
      </c>
      <c r="C37" s="10" t="inlineStr">
        <is>
          <t>parte nao explicada pela reta</t>
        </is>
      </c>
      <c r="D37" s="5" t="n"/>
      <c r="E37" s="5" t="n"/>
      <c r="F37" s="5" t="n"/>
    </row>
    <row r="38">
      <c r="A38" s="34" t="inlineStr">
        <is>
          <t>SQTot</t>
        </is>
      </c>
      <c r="B38" s="10" t="inlineStr">
        <is>
          <t>soma total dos quadrados</t>
        </is>
      </c>
      <c r="C38" s="10" t="inlineStr">
        <is>
          <t>variabilidade total observada em y</t>
        </is>
      </c>
      <c r="D38" s="5" t="n"/>
      <c r="E38" s="5" t="n"/>
      <c r="F38" s="5" t="n"/>
    </row>
    <row r="39">
      <c r="A39" s="34" t="inlineStr">
        <is>
          <t>SQReg</t>
        </is>
      </c>
      <c r="B39" s="10" t="inlineStr">
        <is>
          <t>soma dos quadrados da regressao</t>
        </is>
      </c>
      <c r="C39" s="10" t="inlineStr">
        <is>
          <t>variabilidade explicada pela reta</t>
        </is>
      </c>
      <c r="D39" s="5" t="n"/>
      <c r="E39" s="5" t="n"/>
      <c r="F39" s="5" t="n"/>
    </row>
    <row r="40">
      <c r="A40" s="34" t="inlineStr">
        <is>
          <t>SQRes</t>
        </is>
      </c>
      <c r="B40" s="10" t="inlineStr">
        <is>
          <t>soma dos quadrados dos residuos</t>
        </is>
      </c>
      <c r="C40" s="10" t="inlineStr">
        <is>
          <t>variabilidade nao explicada</t>
        </is>
      </c>
      <c r="D40" s="5" t="n"/>
      <c r="E40" s="5" t="n"/>
      <c r="F40" s="5" t="n"/>
    </row>
    <row r="41">
      <c r="A41" s="34" t="inlineStr">
        <is>
          <t>R2</t>
        </is>
      </c>
      <c r="B41" s="10" t="inlineStr">
        <is>
          <t>coeficiente de determinacao</t>
        </is>
      </c>
      <c r="C41" s="10" t="inlineStr">
        <is>
          <t>proporcao explicada linearmente por x</t>
        </is>
      </c>
      <c r="D41" s="5" t="n"/>
      <c r="E41" s="5" t="n"/>
      <c r="F41" s="5" t="n"/>
    </row>
    <row r="42">
      <c r="A42" s="34" t="inlineStr">
        <is>
          <t>F</t>
        </is>
      </c>
      <c r="B42" s="10" t="inlineStr">
        <is>
          <t>estatistica F da ANOVA</t>
        </is>
      </c>
      <c r="C42" s="10" t="inlineStr">
        <is>
          <t>razao entre QMReg e QMRes</t>
        </is>
      </c>
      <c r="D42" s="5" t="n"/>
      <c r="E42" s="5" t="n"/>
      <c r="F42" s="5" t="n"/>
    </row>
    <row r="43">
      <c r="A43" s="24" t="n"/>
      <c r="B43" s="5" t="n"/>
      <c r="C43" s="5" t="n"/>
      <c r="D43" s="5" t="n"/>
      <c r="E43" s="5" t="n"/>
      <c r="F43" s="5" t="n"/>
    </row>
    <row r="44">
      <c r="A44" s="55" t="inlineStr">
        <is>
          <t>Alertas metodologicos</t>
        </is>
      </c>
    </row>
    <row r="45">
      <c r="A45" s="24" t="inlineStr">
        <is>
          <t>Correlacao nao implica causalidade.</t>
        </is>
      </c>
    </row>
    <row r="46">
      <c r="A46" s="24" t="inlineStr">
        <is>
          <t>r mede associacao linear; uma relacao nao linear pode ter r baixo.</t>
        </is>
      </c>
    </row>
    <row r="47">
      <c r="A47" s="24" t="inlineStr">
        <is>
          <t>R2 alto nao substitui grafico de dispersao nem analise de residuos.</t>
        </is>
      </c>
    </row>
    <row r="48">
      <c r="A48" s="24" t="inlineStr">
        <is>
          <t>ANOVA sera usada para decompor variabilidade e obter F, sem discussao de significancia estatistica.</t>
        </is>
      </c>
    </row>
    <row r="49">
      <c r="A49" s="24" t="inlineStr">
        <is>
          <t>Valor atipico/outlier nao deve ser excluido automaticamente; a exclusao deve ser comparativa e justificada.</t>
        </is>
      </c>
    </row>
    <row r="50">
      <c r="A50" s="24" t="inlineStr">
        <is>
          <t>Intercepto pode ser apenas parametro tecnico quando x=0 nao tem sentido no contexto.</t>
        </is>
      </c>
    </row>
  </sheetData>
  <mergeCells count="22">
    <mergeCell ref="A16:F16"/>
    <mergeCell ref="A46:F46"/>
    <mergeCell ref="A12:F12"/>
    <mergeCell ref="A50:F50"/>
    <mergeCell ref="A3:F3"/>
    <mergeCell ref="A26:F26"/>
    <mergeCell ref="A47:F47"/>
    <mergeCell ref="A14:F14"/>
    <mergeCell ref="A5:F5"/>
    <mergeCell ref="A8:F8"/>
    <mergeCell ref="A4:F4"/>
    <mergeCell ref="A10:F10"/>
    <mergeCell ref="A13:F13"/>
    <mergeCell ref="A44:F44"/>
    <mergeCell ref="A9:F9"/>
    <mergeCell ref="A48:F48"/>
    <mergeCell ref="A49:F49"/>
    <mergeCell ref="A11:F11"/>
    <mergeCell ref="A1:F1"/>
    <mergeCell ref="A45:F45"/>
    <mergeCell ref="A6:F6"/>
    <mergeCell ref="A7:F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9"/>
  <sheetViews>
    <sheetView showGridLines="0" workbookViewId="0">
      <selection activeCell="A1" sqref="A1"/>
    </sheetView>
  </sheetViews>
  <sheetFormatPr baseColWidth="8" defaultColWidth="14.43" defaultRowHeight="15" customHeight="1"/>
  <cols>
    <col width="48.14" customWidth="1" style="53" min="1" max="1"/>
    <col width="13" customWidth="1" style="53" min="2" max="3"/>
    <col width="10.71" customWidth="1" style="53" min="4" max="4"/>
    <col width="9.859999999999999" customWidth="1" style="53" min="5" max="5"/>
    <col width="11.29" customWidth="1" style="53" min="6" max="6"/>
    <col width="58" customWidth="1" style="53" min="7" max="7"/>
    <col width="9.859999999999999" customWidth="1" style="53" min="8" max="8"/>
    <col width="10.57" customWidth="1" style="53" min="9" max="9"/>
    <col width="10.14" customWidth="1" style="53" min="10" max="10"/>
    <col width="12" customWidth="1" style="53" min="11" max="11"/>
    <col width="10.86" customWidth="1" style="53" min="12" max="12"/>
    <col width="10" customWidth="1" style="53" min="13" max="13"/>
    <col width="12" customWidth="1" style="53" min="14" max="14"/>
    <col width="8.710000000000001" customWidth="1" style="53" min="17" max="26"/>
  </cols>
  <sheetData>
    <row r="1">
      <c r="A1" s="13" t="inlineStr">
        <is>
          <t>Ex 1 - Peso versus altura</t>
        </is>
      </c>
      <c r="N1" s="14" t="n"/>
      <c r="O1" s="14" t="n"/>
      <c r="P1" s="14" t="n"/>
    </row>
    <row r="2">
      <c r="A2" s="16" t="inlineStr">
        <is>
          <t>Os dados a seguir se referem a uma amostra de oito pessoas para as quais se dispõe de informações relativas a:</t>
        </is>
      </c>
      <c r="N2" s="16" t="n"/>
      <c r="O2" s="16" t="n"/>
      <c r="P2" s="16" t="n"/>
    </row>
    <row r="3">
      <c r="A3" s="17" t="inlineStr">
        <is>
          <t>Nome</t>
        </is>
      </c>
      <c r="B3" s="49" t="inlineStr">
        <is>
          <t>Altura (m)</t>
        </is>
      </c>
      <c r="C3" s="49" t="inlineStr">
        <is>
          <t>Peso (kg)</t>
        </is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6" t="n"/>
      <c r="O3" s="16" t="n"/>
      <c r="P3" s="16" t="n"/>
    </row>
    <row r="4">
      <c r="A4" s="34" t="inlineStr">
        <is>
          <t>Jorge</t>
        </is>
      </c>
      <c r="B4" s="20" t="n">
        <v>1.89</v>
      </c>
      <c r="C4" s="21" t="n">
        <v>73</v>
      </c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6" t="n"/>
      <c r="O4" s="16" t="n"/>
      <c r="P4" s="16" t="n"/>
    </row>
    <row r="5">
      <c r="A5" s="34" t="inlineStr">
        <is>
          <t>Diva</t>
        </is>
      </c>
      <c r="B5" s="20" t="n">
        <v>1.74</v>
      </c>
      <c r="C5" s="21" t="n">
        <v>68</v>
      </c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6" t="n"/>
      <c r="O5" s="16" t="n"/>
      <c r="P5" s="16" t="n"/>
    </row>
    <row r="6">
      <c r="A6" s="34" t="inlineStr">
        <is>
          <t>Andre</t>
        </is>
      </c>
      <c r="B6" s="20" t="n">
        <v>1.93</v>
      </c>
      <c r="C6" s="21" t="n">
        <v>82</v>
      </c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6" t="n"/>
      <c r="O6" s="16" t="n"/>
      <c r="P6" s="16" t="n"/>
    </row>
    <row r="7">
      <c r="A7" s="34" t="inlineStr">
        <is>
          <t>Lucia</t>
        </is>
      </c>
      <c r="B7" s="20" t="n">
        <v>1.74</v>
      </c>
      <c r="C7" s="21" t="n">
        <v>57</v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6" t="n"/>
      <c r="O7" s="16" t="n"/>
      <c r="P7" s="16" t="n"/>
    </row>
    <row r="8">
      <c r="A8" s="34" t="inlineStr">
        <is>
          <t>Silvio</t>
        </is>
      </c>
      <c r="B8" s="20" t="n">
        <v>1.78</v>
      </c>
      <c r="C8" s="21" t="n">
        <v>126</v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6" t="n"/>
      <c r="O8" s="16" t="n"/>
      <c r="P8" s="16" t="n"/>
    </row>
    <row r="9">
      <c r="A9" s="34" t="inlineStr">
        <is>
          <t>Pedro</t>
        </is>
      </c>
      <c r="B9" s="20" t="n">
        <v>1.92</v>
      </c>
      <c r="C9" s="21" t="n">
        <v>90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6" t="n"/>
      <c r="O9" s="16" t="n"/>
      <c r="P9" s="16" t="n"/>
    </row>
    <row r="10">
      <c r="A10" s="34" t="inlineStr">
        <is>
          <t>Maria</t>
        </is>
      </c>
      <c r="B10" s="20" t="n">
        <v>1.61</v>
      </c>
      <c r="C10" s="21" t="n">
        <v>53</v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6" t="n"/>
      <c r="O10" s="16" t="n"/>
      <c r="P10" s="16" t="n"/>
    </row>
    <row r="11">
      <c r="A11" s="34" t="inlineStr">
        <is>
          <t>Norma</t>
        </is>
      </c>
      <c r="B11" s="20" t="n">
        <v>1.8</v>
      </c>
      <c r="C11" s="21" t="n">
        <v>65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6" t="n"/>
      <c r="O11" s="16" t="n"/>
      <c r="P11" s="16" t="n"/>
    </row>
    <row r="12">
      <c r="A12" s="16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6" t="n"/>
      <c r="O12" s="16" t="n"/>
      <c r="P12" s="16" t="n"/>
    </row>
    <row r="13">
      <c r="A13" s="16" t="inlineStr">
        <is>
          <t>Calcule:
a) média e desvio-padrão da altura;
b) média e desvio-padrão do peso;
c) correlação e reta de regressão para explicar peso pela altura;
d) repita a correlação e a regressão excluindo Silvio;
e) interprete o efeito dessa exclusão.</t>
        </is>
      </c>
      <c r="N13" s="16" t="n"/>
      <c r="O13" s="16" t="n"/>
      <c r="P13" s="16" t="n"/>
    </row>
    <row r="14">
      <c r="A14" s="14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14" t="n"/>
      <c r="O14" s="14" t="n"/>
      <c r="P14" s="14" t="n"/>
    </row>
    <row r="15">
      <c r="A15" s="23" t="inlineStr">
        <is>
          <t>Observacao inicial e perguntas orientadoras</t>
        </is>
      </c>
      <c r="N15" s="14" t="n"/>
      <c r="O15" s="14" t="n"/>
      <c r="P15" s="14" t="n"/>
    </row>
    <row r="16">
      <c r="A16" s="24" t="inlineStr">
        <is>
          <t>Qual e a variavel explicativa? x = altura.
Antes dos calculos, confirme: faz sentido usar altura para explicar peso? Qual e a unidade de x e como ela afeta a interpretacao da inclinacao da reta?</t>
        </is>
      </c>
      <c r="N16" s="24" t="n"/>
      <c r="O16" s="24" t="n"/>
      <c r="P16" s="24" t="n"/>
    </row>
    <row r="17">
      <c r="A17" s="24" t="inlineStr">
        <is>
          <t>Qual e a variavel resposta? y = peso.
O objetivo e apenas medir associacao ou tambem prever peso a partir da altura? Que tipo de erro de previsao seria esperado nesse contexto?</t>
        </is>
      </c>
    </row>
    <row r="18">
      <c r="A18" s="24" t="inlineStr">
        <is>
          <t>O grafico sugere associacao positiva, negativa ou fraca?
Compare a leitura visual com r, com o sinal de b e com R2. R2 alto significa bom ajuste? R2 baixo elimina a possibilidade de alguma relacao linear?</t>
        </is>
      </c>
      <c r="N18" s="24" t="n"/>
      <c r="O18" s="24" t="n"/>
      <c r="P18" s="24" t="n"/>
    </row>
    <row r="19">
      <c r="A19" s="24" t="inlineStr">
        <is>
          <t>Silvio parece valor atipico/outlier? A exclusao nao deve ser automatica.
Analise residuos, SQReg, SQRes, SQTot e R2 antes e depois de retirar Silvio. Na ANOVA, o que representam gl, QM e F? O F sugere que a regressao explica variacao relevante? A decisao estatistica muda quando comparamos todos os casos com o cenario sem Silvio?</t>
        </is>
      </c>
      <c r="N19" s="24" t="n"/>
      <c r="O19" s="24" t="n"/>
      <c r="P19" s="24" t="n"/>
    </row>
    <row r="20">
      <c r="A20" s="14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14" t="n"/>
      <c r="O20" s="14" t="n"/>
      <c r="P20" s="14" t="n"/>
    </row>
    <row r="21">
      <c r="A21" s="56" t="inlineStr">
        <is>
          <t>Dados e calculo manual por somatorios</t>
        </is>
      </c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8" t="n"/>
      <c r="N21" s="14" t="n"/>
      <c r="O21" s="14" t="n"/>
      <c r="P21" s="14" t="n"/>
    </row>
    <row r="22">
      <c r="A22" s="17" t="inlineStr">
        <is>
          <t>Caso</t>
        </is>
      </c>
      <c r="B22" s="28" t="inlineStr">
        <is>
          <t>x = altura (m)</t>
        </is>
      </c>
      <c r="C22" s="28" t="inlineStr">
        <is>
          <t>y = peso (kg)</t>
        </is>
      </c>
      <c r="D22" s="28" t="inlineStr">
        <is>
          <t>dx</t>
        </is>
      </c>
      <c r="E22" s="28" t="inlineStr">
        <is>
          <t>dy</t>
        </is>
      </c>
      <c r="F22" s="28" t="inlineStr">
        <is>
          <t>dx*dy</t>
        </is>
      </c>
      <c r="G22" s="28" t="inlineStr">
        <is>
          <t>dx^2</t>
        </is>
      </c>
      <c r="H22" s="28" t="inlineStr">
        <is>
          <t>dy^2 / SQTot</t>
        </is>
      </c>
      <c r="I22" s="28" t="inlineStr">
        <is>
          <t>y_chapeu</t>
        </is>
      </c>
      <c r="J22" s="28" t="inlineStr">
        <is>
          <t>residuo</t>
        </is>
      </c>
      <c r="K22" s="28" t="inlineStr">
        <is>
          <t>residuo^2 / SQRes</t>
        </is>
      </c>
      <c r="L22" s="28" t="inlineStr">
        <is>
          <t>y_chapeu-y_barra</t>
        </is>
      </c>
      <c r="M22" s="28" t="inlineStr">
        <is>
          <t>SQReg parcela</t>
        </is>
      </c>
      <c r="N22" s="8" t="inlineStr">
        <is>
          <t>Erro-padrão residual</t>
        </is>
      </c>
      <c r="O22" s="8" t="inlineStr">
        <is>
          <t>residuo padronizado</t>
        </is>
      </c>
      <c r="P22" s="8" t="inlineStr">
        <is>
          <t>alerta |z|&gt;2</t>
        </is>
      </c>
    </row>
    <row r="23">
      <c r="A23" s="34" t="inlineStr">
        <is>
          <t>Jorge</t>
        </is>
      </c>
      <c r="B23" s="29">
        <f>B4</f>
        <v/>
      </c>
      <c r="C23" s="30">
        <f>C4</f>
        <v/>
      </c>
      <c r="D23" s="31">
        <f>B23-$B$34</f>
        <v/>
      </c>
      <c r="E23" s="31">
        <f>C23-$B$35</f>
        <v/>
      </c>
      <c r="F23" s="31">
        <f>D23*E23</f>
        <v/>
      </c>
      <c r="G23" s="31">
        <f>D23^2</f>
        <v/>
      </c>
      <c r="H23" s="31">
        <f>E23^2</f>
        <v/>
      </c>
      <c r="I23" s="31">
        <f>$B$42+$B$41*B23</f>
        <v/>
      </c>
      <c r="J23" s="31">
        <f>C23-I23</f>
        <v/>
      </c>
      <c r="K23" s="31">
        <f>J23^2</f>
        <v/>
      </c>
      <c r="L23" s="31">
        <f>I23-$B$35</f>
        <v/>
      </c>
      <c r="M23" s="31">
        <f>L23^2</f>
        <v/>
      </c>
      <c r="N23" s="10">
        <f>SQRT($B$47/$C$47)</f>
        <v/>
      </c>
      <c r="O23" s="10">
        <f>J23/N23</f>
        <v/>
      </c>
      <c r="P23" s="10">
        <f>IF(ABS(O23)&gt;2;"investigar";"")</f>
        <v/>
      </c>
    </row>
    <row r="24">
      <c r="A24" s="34" t="inlineStr">
        <is>
          <t>Diva</t>
        </is>
      </c>
      <c r="B24" s="29">
        <f>B5</f>
        <v/>
      </c>
      <c r="C24" s="30">
        <f>C5</f>
        <v/>
      </c>
      <c r="D24" s="31">
        <f>B24-$B$34</f>
        <v/>
      </c>
      <c r="E24" s="31">
        <f>C24-$B$35</f>
        <v/>
      </c>
      <c r="F24" s="31">
        <f>D24*E24</f>
        <v/>
      </c>
      <c r="G24" s="31">
        <f>D24^2</f>
        <v/>
      </c>
      <c r="H24" s="31">
        <f>E24^2</f>
        <v/>
      </c>
      <c r="I24" s="31">
        <f>$B$42+$B$41*B24</f>
        <v/>
      </c>
      <c r="J24" s="31">
        <f>C24-I24</f>
        <v/>
      </c>
      <c r="K24" s="31">
        <f>J24^2</f>
        <v/>
      </c>
      <c r="L24" s="31">
        <f>I24-$B$35</f>
        <v/>
      </c>
      <c r="M24" s="31">
        <f>L24^2</f>
        <v/>
      </c>
      <c r="N24" s="10">
        <f>SQRT($B$47/$C$47)</f>
        <v/>
      </c>
      <c r="O24" s="10">
        <f>J24/N24</f>
        <v/>
      </c>
      <c r="P24" s="10">
        <f>IF(ABS(O24)&gt;2;"investigar";"")</f>
        <v/>
      </c>
    </row>
    <row r="25">
      <c r="A25" s="34" t="inlineStr">
        <is>
          <t>Andre</t>
        </is>
      </c>
      <c r="B25" s="29">
        <f>B6</f>
        <v/>
      </c>
      <c r="C25" s="30">
        <f>C6</f>
        <v/>
      </c>
      <c r="D25" s="31">
        <f>B25-$B$34</f>
        <v/>
      </c>
      <c r="E25" s="31">
        <f>C25-$B$35</f>
        <v/>
      </c>
      <c r="F25" s="31">
        <f>D25*E25</f>
        <v/>
      </c>
      <c r="G25" s="31">
        <f>D25^2</f>
        <v/>
      </c>
      <c r="H25" s="31">
        <f>E25^2</f>
        <v/>
      </c>
      <c r="I25" s="31">
        <f>$B$42+$B$41*B25</f>
        <v/>
      </c>
      <c r="J25" s="31">
        <f>C25-I25</f>
        <v/>
      </c>
      <c r="K25" s="31">
        <f>J25^2</f>
        <v/>
      </c>
      <c r="L25" s="31">
        <f>I25-$B$35</f>
        <v/>
      </c>
      <c r="M25" s="31">
        <f>L25^2</f>
        <v/>
      </c>
      <c r="N25" s="10">
        <f>SQRT($B$47/$C$47)</f>
        <v/>
      </c>
      <c r="O25" s="10">
        <f>J25/N25</f>
        <v/>
      </c>
      <c r="P25" s="10">
        <f>IF(ABS(O25)&gt;2;"investigar";"")</f>
        <v/>
      </c>
    </row>
    <row r="26">
      <c r="A26" s="34" t="inlineStr">
        <is>
          <t>Lucia</t>
        </is>
      </c>
      <c r="B26" s="29">
        <f>B7</f>
        <v/>
      </c>
      <c r="C26" s="30">
        <f>C7</f>
        <v/>
      </c>
      <c r="D26" s="31">
        <f>B26-$B$34</f>
        <v/>
      </c>
      <c r="E26" s="31">
        <f>C26-$B$35</f>
        <v/>
      </c>
      <c r="F26" s="31">
        <f>D26*E26</f>
        <v/>
      </c>
      <c r="G26" s="31">
        <f>D26^2</f>
        <v/>
      </c>
      <c r="H26" s="31">
        <f>E26^2</f>
        <v/>
      </c>
      <c r="I26" s="31">
        <f>$B$42+$B$41*B26</f>
        <v/>
      </c>
      <c r="J26" s="31">
        <f>C26-I26</f>
        <v/>
      </c>
      <c r="K26" s="31">
        <f>J26^2</f>
        <v/>
      </c>
      <c r="L26" s="31">
        <f>I26-$B$35</f>
        <v/>
      </c>
      <c r="M26" s="31">
        <f>L26^2</f>
        <v/>
      </c>
      <c r="N26" s="10">
        <f>SQRT($B$47/$C$47)</f>
        <v/>
      </c>
      <c r="O26" s="10">
        <f>J26/N26</f>
        <v/>
      </c>
      <c r="P26" s="10">
        <f>IF(ABS(O26)&gt;2;"investigar";"")</f>
        <v/>
      </c>
    </row>
    <row r="27">
      <c r="A27" s="34" t="inlineStr">
        <is>
          <t>Silvio</t>
        </is>
      </c>
      <c r="B27" s="29">
        <f>B8</f>
        <v/>
      </c>
      <c r="C27" s="30">
        <f>C8</f>
        <v/>
      </c>
      <c r="D27" s="31">
        <f>B27-$B$34</f>
        <v/>
      </c>
      <c r="E27" s="31">
        <f>C27-$B$35</f>
        <v/>
      </c>
      <c r="F27" s="31">
        <f>D27*E27</f>
        <v/>
      </c>
      <c r="G27" s="31">
        <f>D27^2</f>
        <v/>
      </c>
      <c r="H27" s="31">
        <f>E27^2</f>
        <v/>
      </c>
      <c r="I27" s="31">
        <f>$B$42+$B$41*B27</f>
        <v/>
      </c>
      <c r="J27" s="31">
        <f>C27-I27</f>
        <v/>
      </c>
      <c r="K27" s="31">
        <f>J27^2</f>
        <v/>
      </c>
      <c r="L27" s="31">
        <f>I27-$B$35</f>
        <v/>
      </c>
      <c r="M27" s="31">
        <f>L27^2</f>
        <v/>
      </c>
      <c r="N27" s="10">
        <f>SQRT($B$47/$C$47)</f>
        <v/>
      </c>
      <c r="O27" s="10">
        <f>J27/N27</f>
        <v/>
      </c>
      <c r="P27" s="10">
        <f>IF(ABS(O27)&gt;2;"investigar";"")</f>
        <v/>
      </c>
    </row>
    <row r="28">
      <c r="A28" s="34" t="inlineStr">
        <is>
          <t>Pedro</t>
        </is>
      </c>
      <c r="B28" s="29">
        <f>B9</f>
        <v/>
      </c>
      <c r="C28" s="30">
        <f>C9</f>
        <v/>
      </c>
      <c r="D28" s="31">
        <f>B28-$B$34</f>
        <v/>
      </c>
      <c r="E28" s="31">
        <f>C28-$B$35</f>
        <v/>
      </c>
      <c r="F28" s="31">
        <f>D28*E28</f>
        <v/>
      </c>
      <c r="G28" s="31">
        <f>D28^2</f>
        <v/>
      </c>
      <c r="H28" s="31">
        <f>E28^2</f>
        <v/>
      </c>
      <c r="I28" s="31">
        <f>$B$42+$B$41*B28</f>
        <v/>
      </c>
      <c r="J28" s="31">
        <f>C28-I28</f>
        <v/>
      </c>
      <c r="K28" s="31">
        <f>J28^2</f>
        <v/>
      </c>
      <c r="L28" s="31">
        <f>I28-$B$35</f>
        <v/>
      </c>
      <c r="M28" s="31">
        <f>L28^2</f>
        <v/>
      </c>
      <c r="N28" s="10">
        <f>SQRT($B$47/$C$47)</f>
        <v/>
      </c>
      <c r="O28" s="10">
        <f>J28/N28</f>
        <v/>
      </c>
      <c r="P28" s="10">
        <f>IF(ABS(O28)&gt;2;"investigar";"")</f>
        <v/>
      </c>
    </row>
    <row r="29">
      <c r="A29" s="34" t="inlineStr">
        <is>
          <t>Maria</t>
        </is>
      </c>
      <c r="B29" s="29">
        <f>B10</f>
        <v/>
      </c>
      <c r="C29" s="30">
        <f>C10</f>
        <v/>
      </c>
      <c r="D29" s="31">
        <f>B29-$B$34</f>
        <v/>
      </c>
      <c r="E29" s="31">
        <f>C29-$B$35</f>
        <v/>
      </c>
      <c r="F29" s="31">
        <f>D29*E29</f>
        <v/>
      </c>
      <c r="G29" s="31">
        <f>D29^2</f>
        <v/>
      </c>
      <c r="H29" s="31">
        <f>E29^2</f>
        <v/>
      </c>
      <c r="I29" s="31">
        <f>$B$42+$B$41*B29</f>
        <v/>
      </c>
      <c r="J29" s="31">
        <f>C29-I29</f>
        <v/>
      </c>
      <c r="K29" s="31">
        <f>J29^2</f>
        <v/>
      </c>
      <c r="L29" s="31">
        <f>I29-$B$35</f>
        <v/>
      </c>
      <c r="M29" s="31">
        <f>L29^2</f>
        <v/>
      </c>
      <c r="N29" s="10">
        <f>SQRT($B$47/$C$47)</f>
        <v/>
      </c>
      <c r="O29" s="10">
        <f>J29/N29</f>
        <v/>
      </c>
      <c r="P29" s="10">
        <f>IF(ABS(O29)&gt;2;"investigar";"")</f>
        <v/>
      </c>
    </row>
    <row r="30">
      <c r="A30" s="34" t="inlineStr">
        <is>
          <t>Norma</t>
        </is>
      </c>
      <c r="B30" s="29">
        <f>B11</f>
        <v/>
      </c>
      <c r="C30" s="30">
        <f>C11</f>
        <v/>
      </c>
      <c r="D30" s="31">
        <f>B30-$B$34</f>
        <v/>
      </c>
      <c r="E30" s="31">
        <f>C30-$B$35</f>
        <v/>
      </c>
      <c r="F30" s="31">
        <f>D30*E30</f>
        <v/>
      </c>
      <c r="G30" s="31">
        <f>D30^2</f>
        <v/>
      </c>
      <c r="H30" s="31">
        <f>E30^2</f>
        <v/>
      </c>
      <c r="I30" s="31">
        <f>$B$42+$B$41*B30</f>
        <v/>
      </c>
      <c r="J30" s="31">
        <f>C30-I30</f>
        <v/>
      </c>
      <c r="K30" s="31">
        <f>J30^2</f>
        <v/>
      </c>
      <c r="L30" s="31">
        <f>I30-$B$35</f>
        <v/>
      </c>
      <c r="M30" s="31">
        <f>L30^2</f>
        <v/>
      </c>
      <c r="N30" s="10">
        <f>SQRT($B$47/$C$47)</f>
        <v/>
      </c>
      <c r="O30" s="10">
        <f>J30/N30</f>
        <v/>
      </c>
      <c r="P30" s="10">
        <f>IF(ABS(O30)&gt;2;"investigar";"")</f>
        <v/>
      </c>
    </row>
    <row r="31">
      <c r="A31" s="24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5" t="n"/>
      <c r="O31" s="5" t="n"/>
      <c r="P31" s="5" t="n"/>
    </row>
    <row r="32">
      <c r="A32" s="23" t="inlineStr">
        <is>
          <t>Resumo do calculo manual</t>
        </is>
      </c>
      <c r="G32" s="35" t="n"/>
      <c r="H32" s="35" t="n"/>
      <c r="I32" s="35" t="n"/>
      <c r="J32" s="35" t="n"/>
      <c r="K32" s="35" t="n"/>
      <c r="L32" s="35" t="n"/>
      <c r="M32" s="35" t="n"/>
      <c r="N32" s="5" t="n"/>
      <c r="O32" s="5" t="n"/>
      <c r="P32" s="5" t="n"/>
    </row>
    <row r="33">
      <c r="A33" s="34" t="inlineStr">
        <is>
          <t>n</t>
        </is>
      </c>
      <c r="B33" s="31">
        <f>COUNT(B23:B30)</f>
        <v/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5" t="n"/>
      <c r="O33" s="5" t="n"/>
      <c r="P33" s="5" t="n"/>
    </row>
    <row r="34">
      <c r="A34" s="34" t="inlineStr">
        <is>
          <t>media x</t>
        </is>
      </c>
      <c r="B34" s="31">
        <f>SUM(B23:B30)/B33</f>
        <v/>
      </c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5" t="n"/>
      <c r="O34" s="5" t="n"/>
      <c r="P34" s="5" t="n"/>
    </row>
    <row r="35">
      <c r="A35" s="34" t="inlineStr">
        <is>
          <t>media y</t>
        </is>
      </c>
      <c r="B35" s="31">
        <f>SUM(C23:C30)/B33</f>
        <v/>
      </c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5" t="n"/>
      <c r="O35" s="5" t="n"/>
      <c r="P35" s="5" t="n"/>
    </row>
    <row r="36">
      <c r="A36" s="34" t="inlineStr">
        <is>
          <t>SOMA dx*dy</t>
        </is>
      </c>
      <c r="B36" s="31">
        <f>SUM(F23:F30)</f>
        <v/>
      </c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5" t="n"/>
      <c r="O36" s="5" t="n"/>
      <c r="P36" s="5" t="n"/>
    </row>
    <row r="37">
      <c r="A37" s="34" t="inlineStr">
        <is>
          <t>SOMA dx^2</t>
        </is>
      </c>
      <c r="B37" s="31">
        <f>SUM(G23:G30)</f>
        <v/>
      </c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5" t="n"/>
      <c r="O37" s="5" t="n"/>
      <c r="P37" s="5" t="n"/>
    </row>
    <row r="38">
      <c r="A38" s="34" t="inlineStr">
        <is>
          <t>SQTot = SOMA dy^2</t>
        </is>
      </c>
      <c r="B38" s="31">
        <f>SUM(H23:H30)</f>
        <v/>
      </c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5" t="n"/>
      <c r="O38" s="5" t="n"/>
      <c r="P38" s="5" t="n"/>
    </row>
    <row r="39">
      <c r="A39" s="34" t="inlineStr">
        <is>
          <t>r manual</t>
        </is>
      </c>
      <c r="B39" s="31">
        <f>B36/SQRT(B37*B38)</f>
        <v/>
      </c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5" t="n"/>
      <c r="O39" s="5" t="n"/>
      <c r="P39" s="5" t="n"/>
    </row>
    <row r="40">
      <c r="A40" s="34" t="inlineStr">
        <is>
          <t>R2 manual = r^2</t>
        </is>
      </c>
      <c r="B40" s="31">
        <f>B39^2</f>
        <v/>
      </c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5" t="n"/>
      <c r="O40" s="5" t="n"/>
      <c r="P40" s="5" t="n"/>
    </row>
    <row r="41">
      <c r="A41" s="34" t="inlineStr">
        <is>
          <t>b manual</t>
        </is>
      </c>
      <c r="B41" s="31">
        <f>B36/B37</f>
        <v/>
      </c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5" t="n"/>
      <c r="O41" s="5" t="n"/>
      <c r="P41" s="5" t="n"/>
    </row>
    <row r="42">
      <c r="A42" s="34" t="inlineStr">
        <is>
          <t>a manual</t>
        </is>
      </c>
      <c r="B42" s="31">
        <f>B35-B41*B34</f>
        <v/>
      </c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5" t="n"/>
      <c r="O42" s="5" t="n"/>
      <c r="P42" s="5" t="n"/>
    </row>
    <row r="43">
      <c r="A43" s="24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5" t="n"/>
      <c r="O43" s="5" t="n"/>
      <c r="P43" s="5" t="n"/>
    </row>
    <row r="44">
      <c r="A44" s="23" t="inlineStr">
        <is>
          <t>ANOVA da regressao</t>
        </is>
      </c>
      <c r="G44" s="35" t="n"/>
      <c r="H44" s="35" t="n"/>
      <c r="I44" s="35" t="n"/>
      <c r="J44" s="35" t="n"/>
      <c r="K44" s="35" t="n"/>
      <c r="L44" s="35" t="n"/>
      <c r="M44" s="35" t="n"/>
      <c r="N44" s="5" t="n"/>
      <c r="O44" s="5" t="n"/>
      <c r="P44" s="5" t="n"/>
    </row>
    <row r="45">
      <c r="A45" s="17" t="inlineStr">
        <is>
          <t>Fonte</t>
        </is>
      </c>
      <c r="B45" s="28" t="inlineStr">
        <is>
          <t>SQ</t>
        </is>
      </c>
      <c r="C45" s="28" t="inlineStr">
        <is>
          <t>gl</t>
        </is>
      </c>
      <c r="D45" s="28" t="inlineStr">
        <is>
          <t>QM</t>
        </is>
      </c>
      <c r="E45" s="28" t="inlineStr">
        <is>
          <t>F</t>
        </is>
      </c>
      <c r="F45" s="35" t="n"/>
      <c r="G45" s="35" t="n"/>
      <c r="H45" s="35" t="n"/>
      <c r="I45" s="35" t="n"/>
      <c r="J45" s="35" t="n"/>
      <c r="K45" s="35" t="n"/>
      <c r="L45" s="35" t="n"/>
      <c r="M45" s="35" t="n"/>
      <c r="N45" s="5" t="n"/>
      <c r="O45" s="5" t="n"/>
      <c r="P45" s="5" t="n"/>
    </row>
    <row r="46">
      <c r="A46" s="34" t="inlineStr">
        <is>
          <t>Regressao</t>
        </is>
      </c>
      <c r="B46" s="31">
        <f>SUM(M23:M30)</f>
        <v/>
      </c>
      <c r="C46" s="31">
        <f>1</f>
        <v/>
      </c>
      <c r="D46" s="31">
        <f>B46/C46</f>
        <v/>
      </c>
      <c r="E46" s="31">
        <f>D46/D47</f>
        <v/>
      </c>
      <c r="F46" s="35" t="n"/>
      <c r="G46" s="35" t="n"/>
      <c r="H46" s="35" t="n"/>
      <c r="I46" s="35" t="n"/>
      <c r="J46" s="35" t="n"/>
      <c r="K46" s="35" t="n"/>
      <c r="L46" s="35" t="n"/>
      <c r="M46" s="35" t="n"/>
      <c r="N46" s="5" t="n"/>
      <c r="O46" s="5" t="n"/>
      <c r="P46" s="5" t="n"/>
    </row>
    <row r="47">
      <c r="A47" s="34" t="inlineStr">
        <is>
          <t>Residuos</t>
        </is>
      </c>
      <c r="B47" s="31">
        <f>SUM(K23:K30)</f>
        <v/>
      </c>
      <c r="C47" s="31">
        <f>B33-2</f>
        <v/>
      </c>
      <c r="D47" s="31">
        <f>B47/C47</f>
        <v/>
      </c>
      <c r="E47" s="29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5" t="n"/>
      <c r="O47" s="5" t="n"/>
      <c r="P47" s="5" t="n"/>
    </row>
    <row r="48">
      <c r="A48" s="34" t="inlineStr">
        <is>
          <t>Total</t>
        </is>
      </c>
      <c r="B48" s="31">
        <f>B46+B47</f>
        <v/>
      </c>
      <c r="C48" s="31">
        <f>B33-1</f>
        <v/>
      </c>
      <c r="D48" s="29" t="n"/>
      <c r="E48" s="29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5" t="n"/>
      <c r="O48" s="5" t="n"/>
      <c r="P48" s="5" t="n"/>
    </row>
    <row r="49">
      <c r="A49" s="24" t="inlineStr">
        <is>
          <t>Conferencia SQTot - (SQReg + SQRes)</t>
        </is>
      </c>
      <c r="B49" s="33">
        <f>B38-B48</f>
        <v/>
      </c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5" t="n"/>
      <c r="O49" s="5" t="n"/>
      <c r="P49" s="5" t="n"/>
    </row>
    <row r="50">
      <c r="A50" s="24" t="inlineStr">
        <is>
          <t>R2 pela ANOVA</t>
        </is>
      </c>
      <c r="B50" s="33">
        <f>B46/B48</f>
        <v/>
      </c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5" t="n"/>
      <c r="O50" s="5" t="n"/>
      <c r="P50" s="5" t="n"/>
    </row>
    <row r="51">
      <c r="A51" s="24" t="n"/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5" t="n"/>
      <c r="O51" s="5" t="n"/>
      <c r="P51" s="5" t="n"/>
    </row>
    <row r="52">
      <c r="A52" s="23" t="inlineStr">
        <is>
          <t>Validacao com LINEST completo do Google Planilhas</t>
        </is>
      </c>
      <c r="I52" s="35" t="n"/>
      <c r="J52" s="35" t="n"/>
      <c r="K52" s="35" t="n"/>
      <c r="L52" s="35" t="n"/>
      <c r="M52" s="35" t="n"/>
      <c r="N52" s="5" t="n"/>
      <c r="O52" s="5" t="n"/>
      <c r="P52" s="5" t="n"/>
    </row>
    <row r="53">
      <c r="A53" s="34" t="inlineStr">
        <is>
          <t>b | a</t>
        </is>
      </c>
      <c r="B53" s="31">
        <f>LINEST(C23:C30;B23:B30;TRUE;TRUE)</f>
        <v/>
      </c>
      <c r="C53" s="31" t="n">
        <v>-78.74228975477693</v>
      </c>
      <c r="D53" s="35" t="n"/>
      <c r="I53" s="35" t="n"/>
      <c r="J53" s="35" t="n"/>
      <c r="K53" s="35" t="n"/>
      <c r="L53" s="35" t="n"/>
      <c r="M53" s="35" t="n"/>
      <c r="N53" s="5" t="n"/>
      <c r="O53" s="5" t="n"/>
      <c r="P53" s="5" t="n"/>
    </row>
    <row r="54">
      <c r="A54" s="34" t="inlineStr">
        <is>
          <t>erro-padrao de b | erro-padrao de a</t>
        </is>
      </c>
      <c r="B54" s="31" t="n">
        <v>80.02226750373558</v>
      </c>
      <c r="C54" s="31" t="n">
        <v>144.3706276534096</v>
      </c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5" t="n"/>
      <c r="O54" s="5" t="n"/>
      <c r="P54" s="5" t="n"/>
    </row>
    <row r="55">
      <c r="A55" s="34" t="inlineStr">
        <is>
          <t>R2 | erro-padrao da estimativa de y</t>
        </is>
      </c>
      <c r="B55" s="31" t="n">
        <v>0.1624461780513046</v>
      </c>
      <c r="C55" s="31" t="n">
        <v>23.06634052885088</v>
      </c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5" t="n"/>
      <c r="O55" s="5" t="n"/>
      <c r="P55" s="5" t="n"/>
    </row>
    <row r="56">
      <c r="A56" s="34" t="inlineStr">
        <is>
          <t>F | graus de liberdade</t>
        </is>
      </c>
      <c r="B56" s="31" t="n">
        <v>1.163718727997795</v>
      </c>
      <c r="C56" s="31" t="n">
        <v>6</v>
      </c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5" t="n"/>
      <c r="O56" s="5" t="n"/>
      <c r="P56" s="5" t="n"/>
    </row>
    <row r="57">
      <c r="A57" s="34" t="inlineStr">
        <is>
          <t>SQReg | SQRes</t>
        </is>
      </c>
      <c r="B57" s="31" t="n">
        <v>619.1636076425475</v>
      </c>
      <c r="C57" s="31" t="n">
        <v>3192.336392357452</v>
      </c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5" t="n"/>
      <c r="O57" s="5" t="n"/>
      <c r="P57" s="5" t="n"/>
    </row>
    <row r="58">
      <c r="A58" s="24" t="n"/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5" t="n"/>
      <c r="O58" s="5" t="n"/>
      <c r="P58" s="5" t="n"/>
    </row>
    <row r="59">
      <c r="A59" s="23" t="inlineStr">
        <is>
          <t>Interpretacao critica</t>
        </is>
      </c>
    </row>
    <row r="60">
      <c r="A60" s="24" t="inlineStr">
        <is>
          <t>Todos os casos: r aproximado 0,403; R2 aproximado 0,162. A reta explica cerca de 16,2% da variacao do peso.</t>
        </is>
      </c>
    </row>
    <row r="61">
      <c r="A61" s="24" t="inlineStr">
        <is>
          <t>ANOVA: F aproximado 1,164. A variacao explicada pela regressao e pequena quando comparada a variacao residual.</t>
        </is>
      </c>
    </row>
    <row r="62">
      <c r="A62" s="24" t="inlineStr">
        <is>
          <t>Sem Silvio: r aproximado 0,903; R2 aproximado 0,815. A exclusao aumenta muito o ajuste, indicando forte efeito dessa observacao atipica/outlier.</t>
        </is>
      </c>
    </row>
    <row r="63">
      <c r="A63" s="24" t="inlineStr">
        <is>
          <t>A decisao de excluir Silvio exige justificativa substantiva; nao basta melhorar R2, F ou a aparencia da reta.</t>
        </is>
      </c>
    </row>
    <row r="64">
      <c r="A64" s="24" t="n"/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5" t="n"/>
      <c r="O64" s="5" t="n"/>
      <c r="P64" s="5" t="n"/>
    </row>
    <row r="65">
      <c r="A65" s="23" t="inlineStr">
        <is>
          <t>Comparacao manual sem Silvio</t>
        </is>
      </c>
      <c r="I65" s="35" t="n"/>
      <c r="J65" s="35" t="n"/>
      <c r="K65" s="35" t="n"/>
      <c r="L65" s="35" t="n"/>
      <c r="M65" s="35" t="n"/>
      <c r="N65" s="5" t="n"/>
      <c r="O65" s="5" t="n"/>
      <c r="P65" s="5" t="n"/>
    </row>
    <row r="66">
      <c r="A66" s="17" t="inlineStr">
        <is>
          <t>Caso</t>
        </is>
      </c>
      <c r="B66" s="28" t="inlineStr">
        <is>
          <t>x</t>
        </is>
      </c>
      <c r="C66" s="28" t="inlineStr">
        <is>
          <t>y</t>
        </is>
      </c>
      <c r="D66" s="28" t="inlineStr">
        <is>
          <t>dx</t>
        </is>
      </c>
      <c r="E66" s="28" t="inlineStr">
        <is>
          <t>dy</t>
        </is>
      </c>
      <c r="F66" s="28" t="inlineStr">
        <is>
          <t>dx*dy</t>
        </is>
      </c>
      <c r="G66" s="28" t="inlineStr">
        <is>
          <t>dx^2</t>
        </is>
      </c>
      <c r="H66" s="28" t="inlineStr">
        <is>
          <t>dy^2</t>
        </is>
      </c>
      <c r="I66" s="35" t="n"/>
      <c r="J66" s="35" t="n"/>
      <c r="K66" s="35" t="n"/>
      <c r="L66" s="35" t="n"/>
      <c r="M66" s="35" t="n"/>
      <c r="N66" s="5" t="n"/>
      <c r="O66" s="5" t="n"/>
      <c r="P66" s="5" t="n"/>
    </row>
    <row r="67">
      <c r="A67" s="36">
        <f>A23</f>
        <v/>
      </c>
      <c r="B67" s="31">
        <f>B23</f>
        <v/>
      </c>
      <c r="C67" s="31">
        <f>C23</f>
        <v/>
      </c>
      <c r="D67" s="31">
        <f>B67-$B$76</f>
        <v/>
      </c>
      <c r="E67" s="31">
        <f>C67-$B$77</f>
        <v/>
      </c>
      <c r="F67" s="31">
        <f>D67*E67</f>
        <v/>
      </c>
      <c r="G67" s="31">
        <f>D67^2</f>
        <v/>
      </c>
      <c r="H67" s="31">
        <f>E67^2</f>
        <v/>
      </c>
      <c r="I67" s="35" t="n"/>
      <c r="J67" s="35" t="n"/>
      <c r="K67" s="35" t="n"/>
      <c r="L67" s="35" t="n"/>
      <c r="M67" s="35" t="n"/>
      <c r="N67" s="5" t="n"/>
      <c r="O67" s="5" t="n"/>
      <c r="P67" s="5" t="n"/>
    </row>
    <row r="68">
      <c r="A68" s="36">
        <f>A24</f>
        <v/>
      </c>
      <c r="B68" s="31">
        <f>B24</f>
        <v/>
      </c>
      <c r="C68" s="31">
        <f>C24</f>
        <v/>
      </c>
      <c r="D68" s="31">
        <f>B68-$B$76</f>
        <v/>
      </c>
      <c r="E68" s="31">
        <f>C68-$B$77</f>
        <v/>
      </c>
      <c r="F68" s="31">
        <f>D68*E68</f>
        <v/>
      </c>
      <c r="G68" s="31">
        <f>D68^2</f>
        <v/>
      </c>
      <c r="H68" s="31">
        <f>E68^2</f>
        <v/>
      </c>
      <c r="I68" s="35" t="n"/>
      <c r="J68" s="35" t="n"/>
      <c r="K68" s="35" t="n"/>
      <c r="L68" s="35" t="n"/>
      <c r="M68" s="35" t="n"/>
      <c r="N68" s="5" t="n"/>
      <c r="O68" s="5" t="n"/>
      <c r="P68" s="5" t="n"/>
    </row>
    <row r="69">
      <c r="A69" s="36">
        <f>A25</f>
        <v/>
      </c>
      <c r="B69" s="31">
        <f>B25</f>
        <v/>
      </c>
      <c r="C69" s="31">
        <f>C25</f>
        <v/>
      </c>
      <c r="D69" s="31">
        <f>B69-$B$76</f>
        <v/>
      </c>
      <c r="E69" s="31">
        <f>C69-$B$77</f>
        <v/>
      </c>
      <c r="F69" s="31">
        <f>D69*E69</f>
        <v/>
      </c>
      <c r="G69" s="31">
        <f>D69^2</f>
        <v/>
      </c>
      <c r="H69" s="31">
        <f>E69^2</f>
        <v/>
      </c>
      <c r="I69" s="35" t="n"/>
      <c r="J69" s="35" t="n"/>
      <c r="K69" s="35" t="n"/>
      <c r="L69" s="35" t="n"/>
      <c r="M69" s="35" t="n"/>
      <c r="N69" s="5" t="n"/>
      <c r="O69" s="5" t="n"/>
      <c r="P69" s="5" t="n"/>
    </row>
    <row r="70">
      <c r="A70" s="36">
        <f>A26</f>
        <v/>
      </c>
      <c r="B70" s="31">
        <f>B26</f>
        <v/>
      </c>
      <c r="C70" s="31">
        <f>C26</f>
        <v/>
      </c>
      <c r="D70" s="31">
        <f>B70-$B$76</f>
        <v/>
      </c>
      <c r="E70" s="31">
        <f>C70-$B$77</f>
        <v/>
      </c>
      <c r="F70" s="31">
        <f>D70*E70</f>
        <v/>
      </c>
      <c r="G70" s="31">
        <f>D70^2</f>
        <v/>
      </c>
      <c r="H70" s="31">
        <f>E70^2</f>
        <v/>
      </c>
      <c r="I70" s="35" t="n"/>
      <c r="J70" s="35" t="n"/>
      <c r="K70" s="35" t="n"/>
      <c r="L70" s="35" t="n"/>
      <c r="M70" s="35" t="n"/>
      <c r="N70" s="5" t="n"/>
      <c r="O70" s="5" t="n"/>
      <c r="P70" s="5" t="n"/>
    </row>
    <row r="71">
      <c r="A71" s="36">
        <f>A28</f>
        <v/>
      </c>
      <c r="B71" s="31">
        <f>B28</f>
        <v/>
      </c>
      <c r="C71" s="31">
        <f>C28</f>
        <v/>
      </c>
      <c r="D71" s="31">
        <f>B71-$B$76</f>
        <v/>
      </c>
      <c r="E71" s="31">
        <f>C71-$B$77</f>
        <v/>
      </c>
      <c r="F71" s="31">
        <f>D71*E71</f>
        <v/>
      </c>
      <c r="G71" s="31">
        <f>D71^2</f>
        <v/>
      </c>
      <c r="H71" s="31">
        <f>E71^2</f>
        <v/>
      </c>
      <c r="I71" s="35" t="n"/>
      <c r="J71" s="35" t="n"/>
      <c r="K71" s="35" t="n"/>
      <c r="L71" s="35" t="n"/>
      <c r="M71" s="35" t="n"/>
      <c r="N71" s="5" t="n"/>
      <c r="O71" s="5" t="n"/>
      <c r="P71" s="5" t="n"/>
    </row>
    <row r="72">
      <c r="A72" s="36">
        <f>A29</f>
        <v/>
      </c>
      <c r="B72" s="31">
        <f>B29</f>
        <v/>
      </c>
      <c r="C72" s="31">
        <f>C29</f>
        <v/>
      </c>
      <c r="D72" s="31">
        <f>B72-$B$76</f>
        <v/>
      </c>
      <c r="E72" s="31">
        <f>C72-$B$77</f>
        <v/>
      </c>
      <c r="F72" s="31">
        <f>D72*E72</f>
        <v/>
      </c>
      <c r="G72" s="31">
        <f>D72^2</f>
        <v/>
      </c>
      <c r="H72" s="31">
        <f>E72^2</f>
        <v/>
      </c>
      <c r="I72" s="35" t="n"/>
      <c r="J72" s="35" t="n"/>
      <c r="K72" s="35" t="n"/>
      <c r="L72" s="35" t="n"/>
      <c r="M72" s="35" t="n"/>
      <c r="N72" s="5" t="n"/>
      <c r="O72" s="5" t="n"/>
      <c r="P72" s="5" t="n"/>
    </row>
    <row r="73">
      <c r="A73" s="36">
        <f>A30</f>
        <v/>
      </c>
      <c r="B73" s="31">
        <f>B30</f>
        <v/>
      </c>
      <c r="C73" s="31">
        <f>C30</f>
        <v/>
      </c>
      <c r="D73" s="31">
        <f>B73-$B$76</f>
        <v/>
      </c>
      <c r="E73" s="31">
        <f>C73-$B$77</f>
        <v/>
      </c>
      <c r="F73" s="31">
        <f>D73*E73</f>
        <v/>
      </c>
      <c r="G73" s="31">
        <f>D73^2</f>
        <v/>
      </c>
      <c r="H73" s="31">
        <f>E73^2</f>
        <v/>
      </c>
      <c r="I73" s="35" t="n"/>
      <c r="J73" s="35" t="n"/>
      <c r="K73" s="35" t="n"/>
      <c r="L73" s="35" t="n"/>
      <c r="M73" s="35" t="n"/>
      <c r="N73" s="5" t="n"/>
      <c r="O73" s="5" t="n"/>
      <c r="P73" s="5" t="n"/>
    </row>
    <row r="74">
      <c r="A74" s="24" t="n"/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5" t="n"/>
      <c r="O74" s="5" t="n"/>
      <c r="P74" s="5" t="n"/>
    </row>
    <row r="75">
      <c r="A75" s="34" t="inlineStr">
        <is>
          <t>n sem Silvio</t>
        </is>
      </c>
      <c r="B75" s="31">
        <f>COUNT(B67:B73)</f>
        <v/>
      </c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5" t="n"/>
      <c r="O75" s="5" t="n"/>
      <c r="P75" s="5" t="n"/>
    </row>
    <row r="76">
      <c r="A76" s="34" t="inlineStr">
        <is>
          <t>media x</t>
        </is>
      </c>
      <c r="B76" s="31">
        <f>SUM(B67:B73)/B75</f>
        <v/>
      </c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5" t="n"/>
      <c r="O76" s="5" t="n"/>
      <c r="P76" s="5" t="n"/>
    </row>
    <row r="77">
      <c r="A77" s="34" t="inlineStr">
        <is>
          <t>media y</t>
        </is>
      </c>
      <c r="B77" s="31">
        <f>SUM(C67:C73)/B75</f>
        <v/>
      </c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5" t="n"/>
      <c r="O77" s="5" t="n"/>
      <c r="P77" s="5" t="n"/>
    </row>
    <row r="78">
      <c r="A78" s="34" t="inlineStr">
        <is>
          <t>r</t>
        </is>
      </c>
      <c r="B78" s="31">
        <f>B79/SQRT(B80*B81)</f>
        <v/>
      </c>
      <c r="C78" s="35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5" t="n"/>
      <c r="O78" s="5" t="n"/>
      <c r="P78" s="5" t="n"/>
    </row>
    <row r="79">
      <c r="A79" s="34" t="inlineStr">
        <is>
          <t>SOMA dx*dy</t>
        </is>
      </c>
      <c r="B79" s="31">
        <f>SUM(F67:F73)</f>
        <v/>
      </c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5" t="n"/>
      <c r="O79" s="5" t="n"/>
      <c r="P79" s="5" t="n"/>
    </row>
    <row r="80">
      <c r="A80" s="34" t="inlineStr">
        <is>
          <t>SOMA dx^2</t>
        </is>
      </c>
      <c r="B80" s="31">
        <f>SUM(G67:G73)</f>
        <v/>
      </c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5" t="n"/>
      <c r="O80" s="5" t="n"/>
      <c r="P80" s="5" t="n"/>
    </row>
    <row r="81">
      <c r="A81" s="34" t="inlineStr">
        <is>
          <t>SOMA dy^2</t>
        </is>
      </c>
      <c r="B81" s="31">
        <f>SUM(H67:H73)</f>
        <v/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5" t="n"/>
      <c r="O81" s="5" t="n"/>
      <c r="P81" s="5" t="n"/>
    </row>
    <row r="82">
      <c r="A82" s="34" t="inlineStr">
        <is>
          <t>b</t>
        </is>
      </c>
      <c r="B82" s="31">
        <f>B79/B80</f>
        <v/>
      </c>
      <c r="C82" s="35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5" t="n"/>
      <c r="O82" s="5" t="n"/>
      <c r="P82" s="5" t="n"/>
    </row>
    <row r="83">
      <c r="A83" s="34" t="inlineStr">
        <is>
          <t>a</t>
        </is>
      </c>
      <c r="B83" s="31">
        <f>B77-B82*B76</f>
        <v/>
      </c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5" t="n"/>
      <c r="O83" s="5" t="n"/>
      <c r="P83" s="5" t="n"/>
    </row>
    <row r="84">
      <c r="A84" s="34" t="inlineStr">
        <is>
          <t>R2</t>
        </is>
      </c>
      <c r="B84" s="31">
        <f>B78^2</f>
        <v/>
      </c>
      <c r="C84" s="35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5" t="n"/>
      <c r="O84" s="5" t="n"/>
      <c r="P84" s="5" t="n"/>
    </row>
    <row r="85"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</row>
    <row r="86">
      <c r="A86" s="6" t="inlineStr">
        <is>
          <t>Diagnostico visual: dados para graficos</t>
        </is>
      </c>
      <c r="G86" s="37" t="n"/>
      <c r="H86" s="37" t="n"/>
      <c r="I86" s="37" t="n"/>
      <c r="J86" s="37" t="n"/>
      <c r="K86" s="37" t="n"/>
      <c r="L86" s="37" t="n"/>
      <c r="M86" s="37" t="n"/>
    </row>
    <row r="87">
      <c r="A87" s="8" t="inlineStr">
        <is>
          <t>Grafico</t>
        </is>
      </c>
      <c r="B87" s="8" t="inlineStr">
        <is>
          <t>Eixo X</t>
        </is>
      </c>
      <c r="C87" s="8" t="inlineStr">
        <is>
          <t>Eixo Y</t>
        </is>
      </c>
      <c r="D87" s="8" t="inlineStr">
        <is>
          <t>Intervalo X</t>
        </is>
      </c>
      <c r="E87" s="8" t="inlineStr">
        <is>
          <t>Intervalo Y</t>
        </is>
      </c>
      <c r="F87" s="8" t="inlineStr">
        <is>
          <t>Objetivo diagnostico</t>
        </is>
      </c>
      <c r="G87" s="8" t="inlineStr">
        <is>
          <t>Conclusao diagnostica</t>
        </is>
      </c>
      <c r="H87" s="37" t="n"/>
      <c r="I87" s="37" t="n"/>
      <c r="J87" s="37" t="n"/>
      <c r="K87" s="37" t="n"/>
      <c r="L87" s="37" t="n"/>
      <c r="M87" s="37" t="n"/>
      <c r="N87" s="8" t="n"/>
    </row>
    <row r="88">
      <c r="A88" s="34" t="inlineStr">
        <is>
          <t>Dispersao</t>
        </is>
      </c>
      <c r="B88" s="10" t="inlineStr">
        <is>
          <t>x = altura</t>
        </is>
      </c>
      <c r="C88" s="10" t="inlineStr">
        <is>
          <t>y = peso</t>
        </is>
      </c>
      <c r="D88" s="10" t="inlineStr">
        <is>
          <t>B23:B30</t>
        </is>
      </c>
      <c r="E88" s="10" t="inlineStr">
        <is>
          <t>C23:C30</t>
        </is>
      </c>
      <c r="F88" s="10" t="inlineStr">
        <is>
          <t>Ver se altura e peso parecem ter relação aproximadamente linear; observar direção da associação e possíveis pontos isolados.</t>
        </is>
      </c>
      <c r="G88" s="10" t="inlineStr">
        <is>
          <t>A associação é positiva, mas enfraquecida por Silvio, que aparece como ponto isolado; a linearidade melhora quando esse caso é analisado separadamente.</t>
        </is>
      </c>
      <c r="H88" s="37" t="n"/>
      <c r="I88" s="37" t="n"/>
      <c r="J88" s="37" t="n"/>
      <c r="K88" s="37" t="n"/>
      <c r="L88" s="37" t="n"/>
      <c r="M88" s="37" t="n"/>
      <c r="N88" s="10" t="n"/>
    </row>
    <row r="89">
      <c r="A89" s="34" t="inlineStr">
        <is>
          <t>Reta ajustada</t>
        </is>
      </c>
      <c r="B89" s="10" t="inlineStr">
        <is>
          <t>x = altura</t>
        </is>
      </c>
      <c r="C89" s="10" t="inlineStr">
        <is>
          <t>y_chapeu</t>
        </is>
      </c>
      <c r="D89" s="10" t="inlineStr">
        <is>
          <t>B23:B30</t>
        </is>
      </c>
      <c r="E89" s="10" t="inlineStr">
        <is>
          <t>I23:I30</t>
        </is>
      </c>
      <c r="F89" s="10" t="inlineStr">
        <is>
          <t>Ver se a reta passa pelo centro da nuvem de pontos ou se foi puxada por algum caso específico, como Silvio.</t>
        </is>
      </c>
      <c r="G89" s="10" t="inlineStr">
        <is>
          <t>A reta com todos os casos é puxada por Silvio e representa mal o padrão dos demais; a comparação sem Silvio sugere ajuste mais forte.</t>
        </is>
      </c>
      <c r="H89" s="37" t="n"/>
      <c r="I89" s="37" t="n"/>
      <c r="J89" s="37" t="n"/>
      <c r="K89" s="37" t="n"/>
      <c r="L89" s="37" t="n"/>
      <c r="M89" s="37" t="n"/>
      <c r="N89" s="10" t="n"/>
    </row>
    <row r="90">
      <c r="A90" s="34" t="inlineStr">
        <is>
          <t>Residuos vs previsto</t>
        </is>
      </c>
      <c r="B90" s="10" t="inlineStr">
        <is>
          <t>y_chapeu</t>
        </is>
      </c>
      <c r="C90" s="10" t="inlineStr">
        <is>
          <t>residuo</t>
        </is>
      </c>
      <c r="D90" s="10" t="inlineStr">
        <is>
          <t>I23:I30</t>
        </is>
      </c>
      <c r="E90" s="10" t="inlineStr">
        <is>
          <t>J23:J30</t>
        </is>
      </c>
      <c r="F90" s="10" t="inlineStr">
        <is>
          <t>Ver se os erros ficam espalhados ao redor de zero sem padrão; curva ou funil indicam ajuste problemático.</t>
        </is>
      </c>
      <c r="G90" s="10" t="inlineStr">
        <is>
          <t>Os resíduos mostram Silvio com erro positivo muito alto; isso indica que o modelo subestima fortemente seu peso.</t>
        </is>
      </c>
      <c r="H90" s="37" t="n"/>
      <c r="I90" s="37" t="n"/>
      <c r="J90" s="37" t="n"/>
      <c r="K90" s="37" t="n"/>
      <c r="L90" s="37" t="n"/>
      <c r="M90" s="37" t="n"/>
      <c r="N90" s="10" t="n"/>
    </row>
    <row r="91">
      <c r="A91" s="34" t="inlineStr">
        <is>
          <t>Residuos vs altura</t>
        </is>
      </c>
      <c r="B91" s="10" t="inlineStr">
        <is>
          <t>x = altura</t>
        </is>
      </c>
      <c r="C91" s="10" t="inlineStr">
        <is>
          <t>residuo</t>
        </is>
      </c>
      <c r="D91" s="10" t="inlineStr">
        <is>
          <t>B23:B30</t>
        </is>
      </c>
      <c r="E91" s="10" t="inlineStr">
        <is>
          <t>J23:J30</t>
        </is>
      </c>
      <c r="F91" s="10" t="inlineStr">
        <is>
          <t>Ver se os erros mudam conforme a altura aumenta; padrão sistemático sugere que a reta não capturou bem a relação.</t>
        </is>
      </c>
      <c r="G91" s="10" t="inlineStr">
        <is>
          <t>Não há padrão claro entre altura e resíduos para os demais casos, mas Silvio se destaca como erro extremo.</t>
        </is>
      </c>
      <c r="H91" s="37" t="n"/>
      <c r="I91" s="37" t="n"/>
      <c r="J91" s="37" t="n"/>
      <c r="K91" s="37" t="n"/>
      <c r="L91" s="37" t="n"/>
      <c r="M91" s="37" t="n"/>
      <c r="N91" s="10" t="n"/>
    </row>
    <row r="92">
      <c r="A92" s="34" t="inlineStr">
        <is>
          <t>Residuos padronizados</t>
        </is>
      </c>
      <c r="B92" s="10" t="inlineStr">
        <is>
          <t>x = altura</t>
        </is>
      </c>
      <c r="C92" s="10" t="inlineStr">
        <is>
          <t>z_residuo</t>
        </is>
      </c>
      <c r="D92" s="10" t="inlineStr">
        <is>
          <t>B23:B30</t>
        </is>
      </c>
      <c r="E92" s="10" t="inlineStr">
        <is>
          <t>O23:O30</t>
        </is>
      </c>
      <c r="F92" s="10" t="inlineStr">
        <is>
          <t>Identificar observações com erro grande em escala comum; valores com |z| &gt; 2 devem ser investigados, não excluídos automaticamente.</t>
        </is>
      </c>
      <c r="G92" s="10" t="inlineStr">
        <is>
          <t>Silvio tem resíduo padronizado maior que 2 e deve ser investigado como possível valor atípico/outlier, sem exclusão automática.</t>
        </is>
      </c>
      <c r="H92" s="37" t="n"/>
      <c r="I92" s="37" t="n"/>
      <c r="J92" s="37" t="n"/>
      <c r="K92" s="37" t="n"/>
      <c r="L92" s="37" t="n"/>
      <c r="M92" s="37" t="n"/>
      <c r="N92" s="10" t="n"/>
    </row>
    <row r="93"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</row>
    <row r="94"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</row>
    <row r="95"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</row>
    <row r="96"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</row>
    <row r="97"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</row>
    <row r="98"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</row>
    <row r="99"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</row>
    <row r="100"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</row>
    <row r="101"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</row>
    <row r="102"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</row>
    <row r="103"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</row>
    <row r="104"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</row>
    <row r="105"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</row>
    <row r="106"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</row>
    <row r="107"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</row>
    <row r="108"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</row>
    <row r="109"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</row>
    <row r="110"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</row>
    <row r="111"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</row>
    <row r="112"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</row>
    <row r="113"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</row>
    <row r="114"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</row>
    <row r="115"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</row>
    <row r="116"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</row>
    <row r="117"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</row>
    <row r="118"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</row>
    <row r="119"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</row>
    <row r="120"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</row>
    <row r="121"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</row>
    <row r="122"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</row>
    <row r="123"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</row>
    <row r="124"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</row>
    <row r="125"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</row>
    <row r="126"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</row>
    <row r="127"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</row>
    <row r="128"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</row>
    <row r="129"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</row>
    <row r="130"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</row>
    <row r="131"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</row>
    <row r="132"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</row>
    <row r="133"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</row>
    <row r="134"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</row>
    <row r="135"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</row>
    <row r="136"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</row>
    <row r="137"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</row>
    <row r="138"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</row>
    <row r="139"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</row>
    <row r="140"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</row>
    <row r="141"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</row>
    <row r="142"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</row>
    <row r="143"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</row>
    <row r="144"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</row>
    <row r="145"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</row>
    <row r="146"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</row>
    <row r="147"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</row>
    <row r="148"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</row>
    <row r="149"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</row>
    <row r="150"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</row>
    <row r="151"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</row>
    <row r="152"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</row>
    <row r="153"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</row>
    <row r="154"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</row>
    <row r="155"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</row>
    <row r="156"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</row>
    <row r="157"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</row>
    <row r="158"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</row>
    <row r="159"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</row>
    <row r="160"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</row>
    <row r="161"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</row>
    <row r="162"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</row>
    <row r="163"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</row>
    <row r="164"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</row>
    <row r="165"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</row>
    <row r="166"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</row>
    <row r="167"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</row>
    <row r="168"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</row>
    <row r="169"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</row>
    <row r="170"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</row>
    <row r="171"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</row>
    <row r="172"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</row>
    <row r="173"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</row>
    <row r="174"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</row>
    <row r="175"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</row>
    <row r="176"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</row>
    <row r="177"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</row>
    <row r="178"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</row>
    <row r="179"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</row>
    <row r="180"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</row>
    <row r="181"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</row>
    <row r="182"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</row>
    <row r="183"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</row>
    <row r="184"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</row>
    <row r="185"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</row>
    <row r="186"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</row>
    <row r="187"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</row>
    <row r="188"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</row>
    <row r="189"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</row>
    <row r="190"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</row>
    <row r="191"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</row>
    <row r="192"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</row>
    <row r="193"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</row>
    <row r="194"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</row>
    <row r="195"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</row>
    <row r="196"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</row>
    <row r="197"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</row>
    <row r="198"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</row>
    <row r="199"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</row>
    <row r="200"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</row>
    <row r="201"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</row>
    <row r="202"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</row>
    <row r="203"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</row>
    <row r="204"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</row>
    <row r="205"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</row>
    <row r="206"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</row>
    <row r="207"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</row>
    <row r="208"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</row>
    <row r="209"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</row>
    <row r="210"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</row>
    <row r="211"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</row>
    <row r="212"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</row>
    <row r="213"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</row>
    <row r="214"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</row>
    <row r="215"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</row>
    <row r="216"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</row>
    <row r="217"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</row>
    <row r="218"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</row>
    <row r="219"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</row>
    <row r="220"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</row>
    <row r="221"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</row>
    <row r="222"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</row>
    <row r="223"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</row>
    <row r="224"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</row>
    <row r="225"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</row>
    <row r="226"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</row>
    <row r="227"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</row>
    <row r="228"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</row>
    <row r="229"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</row>
    <row r="230"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</row>
    <row r="231"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</row>
    <row r="232"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</row>
    <row r="233"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</row>
    <row r="234"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</row>
    <row r="235"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</row>
    <row r="236"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</row>
    <row r="237"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</row>
    <row r="238"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</row>
    <row r="239"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</row>
    <row r="240"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</row>
    <row r="241"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</row>
    <row r="242"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</row>
    <row r="243"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</row>
    <row r="244"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</row>
    <row r="245"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</row>
    <row r="246"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</row>
    <row r="247"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</row>
    <row r="248"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</row>
    <row r="249"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</row>
    <row r="250"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</row>
    <row r="251"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</row>
    <row r="252"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</row>
    <row r="253"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</row>
    <row r="254"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</row>
    <row r="255"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</row>
    <row r="256"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</row>
    <row r="257"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</row>
    <row r="258"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</row>
    <row r="259"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</row>
    <row r="260"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</row>
    <row r="261"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</row>
    <row r="262"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</row>
    <row r="263"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</row>
    <row r="264"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</row>
    <row r="265"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</row>
    <row r="266"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</row>
    <row r="267"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</row>
    <row r="268"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</row>
    <row r="269"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</row>
    <row r="270"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</row>
    <row r="271"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</row>
    <row r="272"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</row>
    <row r="273"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</row>
    <row r="274"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</row>
    <row r="275"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</row>
    <row r="276"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</row>
    <row r="277"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</row>
    <row r="278"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</row>
    <row r="279"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</row>
    <row r="280"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</row>
    <row r="281"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</row>
    <row r="282"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</row>
    <row r="283"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</row>
    <row r="284"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</row>
    <row r="285"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</row>
    <row r="286"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</row>
    <row r="287"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</row>
    <row r="288"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</row>
    <row r="289"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</row>
    <row r="290"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</row>
    <row r="291"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</row>
    <row r="292"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</row>
    <row r="293"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</row>
    <row r="294"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</row>
    <row r="295"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</row>
    <row r="296"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</row>
    <row r="297"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</row>
    <row r="298"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</row>
    <row r="299"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</row>
    <row r="300"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</row>
    <row r="301"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</row>
    <row r="302"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</row>
    <row r="303"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</row>
    <row r="304"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</row>
    <row r="305"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</row>
    <row r="306"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</row>
    <row r="307"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</row>
    <row r="308"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</row>
    <row r="309"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</row>
    <row r="310"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</row>
    <row r="311"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</row>
    <row r="312"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</row>
    <row r="313"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</row>
    <row r="314"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</row>
    <row r="315"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</row>
    <row r="316"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</row>
    <row r="317"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</row>
    <row r="318"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</row>
    <row r="319"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</row>
    <row r="320"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</row>
    <row r="321"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</row>
    <row r="322"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</row>
    <row r="323"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</row>
    <row r="324"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</row>
    <row r="325"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</row>
    <row r="326"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</row>
    <row r="327"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</row>
    <row r="328"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</row>
    <row r="329"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</row>
    <row r="330"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</row>
    <row r="331"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</row>
    <row r="332"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</row>
    <row r="333"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</row>
    <row r="334"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</row>
    <row r="335"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</row>
    <row r="336"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</row>
    <row r="337"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</row>
    <row r="338"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</row>
    <row r="339"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</row>
    <row r="340"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</row>
    <row r="341"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</row>
    <row r="342"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</row>
    <row r="343"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</row>
    <row r="344"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</row>
    <row r="345"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</row>
    <row r="346"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</row>
    <row r="347"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</row>
    <row r="348"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</row>
    <row r="349"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</row>
    <row r="350"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</row>
    <row r="351"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</row>
    <row r="352"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</row>
    <row r="353"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</row>
    <row r="354"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</row>
    <row r="355"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</row>
    <row r="356"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</row>
    <row r="357"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</row>
    <row r="358"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</row>
    <row r="359"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</row>
    <row r="360"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</row>
    <row r="361"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</row>
    <row r="362"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</row>
    <row r="363"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</row>
    <row r="364"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</row>
    <row r="365"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</row>
    <row r="366"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</row>
    <row r="367"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</row>
    <row r="368"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</row>
    <row r="369"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</row>
    <row r="370"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</row>
    <row r="371"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</row>
    <row r="372"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</row>
    <row r="373"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</row>
    <row r="374"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</row>
    <row r="375"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</row>
    <row r="376"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</row>
    <row r="377"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</row>
    <row r="378"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</row>
    <row r="379"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</row>
    <row r="380"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</row>
    <row r="381"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</row>
    <row r="382"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</row>
    <row r="383"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</row>
    <row r="384"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</row>
    <row r="385"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</row>
    <row r="386"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</row>
    <row r="387"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</row>
    <row r="388"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</row>
    <row r="389"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</row>
    <row r="390"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</row>
    <row r="391"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</row>
    <row r="392"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</row>
    <row r="393"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</row>
    <row r="394"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</row>
    <row r="395"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</row>
    <row r="396"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</row>
    <row r="397"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</row>
    <row r="398"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</row>
    <row r="399"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</row>
    <row r="400"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</row>
    <row r="401"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</row>
    <row r="402"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</row>
    <row r="403"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</row>
    <row r="404"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</row>
    <row r="405"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</row>
    <row r="406"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</row>
    <row r="407"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</row>
    <row r="408"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</row>
    <row r="409"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</row>
    <row r="410"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</row>
    <row r="411"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</row>
    <row r="412"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</row>
    <row r="413"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</row>
    <row r="414"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</row>
    <row r="415"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</row>
    <row r="416"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</row>
    <row r="417"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</row>
    <row r="418"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</row>
    <row r="419"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</row>
    <row r="420"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</row>
    <row r="421"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</row>
    <row r="422"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</row>
    <row r="423"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</row>
    <row r="424"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</row>
    <row r="425"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</row>
    <row r="426"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</row>
    <row r="427"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</row>
    <row r="428"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</row>
    <row r="429"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</row>
    <row r="430"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</row>
    <row r="431"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</row>
    <row r="432"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</row>
    <row r="433"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</row>
    <row r="434"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</row>
    <row r="435"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</row>
    <row r="436"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</row>
    <row r="437"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</row>
    <row r="438"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</row>
    <row r="439"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</row>
    <row r="440"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</row>
    <row r="441"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</row>
    <row r="442"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</row>
    <row r="443"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</row>
    <row r="444"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</row>
    <row r="445"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</row>
    <row r="446"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</row>
    <row r="447"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</row>
    <row r="448"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</row>
    <row r="449"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</row>
    <row r="450"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</row>
    <row r="451"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</row>
    <row r="452"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</row>
    <row r="453"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</row>
    <row r="454"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</row>
    <row r="455"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</row>
    <row r="456"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</row>
    <row r="457"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</row>
    <row r="458"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</row>
    <row r="459"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</row>
    <row r="460"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</row>
    <row r="461"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</row>
    <row r="462"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</row>
    <row r="463"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</row>
    <row r="464"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</row>
    <row r="465"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</row>
    <row r="466"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</row>
    <row r="467"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</row>
    <row r="468"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</row>
    <row r="469"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</row>
    <row r="470"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</row>
    <row r="471"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</row>
    <row r="472"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</row>
    <row r="473"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</row>
    <row r="474"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</row>
    <row r="475"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</row>
    <row r="476"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</row>
    <row r="477"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</row>
    <row r="478"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</row>
    <row r="479"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</row>
    <row r="480"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</row>
    <row r="481"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</row>
    <row r="482"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</row>
    <row r="483"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</row>
    <row r="484"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</row>
    <row r="485"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</row>
    <row r="486"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</row>
    <row r="487"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</row>
    <row r="488"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</row>
    <row r="489"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</row>
    <row r="490"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</row>
    <row r="491"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</row>
    <row r="492"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</row>
    <row r="493"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</row>
    <row r="494"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</row>
    <row r="495"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</row>
    <row r="496"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</row>
    <row r="497"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</row>
    <row r="498"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</row>
    <row r="499"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</row>
    <row r="500"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</row>
    <row r="501"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</row>
    <row r="502"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</row>
    <row r="503"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</row>
    <row r="504"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</row>
    <row r="505"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</row>
    <row r="506"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</row>
    <row r="507"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</row>
    <row r="508"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</row>
    <row r="509"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</row>
    <row r="510"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</row>
    <row r="511"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</row>
    <row r="512"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</row>
    <row r="513"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</row>
    <row r="514"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</row>
    <row r="515"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</row>
    <row r="516"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</row>
    <row r="517"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</row>
    <row r="518"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</row>
    <row r="519"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</row>
    <row r="520"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</row>
    <row r="521"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</row>
    <row r="522"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</row>
    <row r="523"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</row>
    <row r="524"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</row>
    <row r="525"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</row>
    <row r="526"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</row>
    <row r="527"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</row>
    <row r="528"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</row>
    <row r="529"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</row>
    <row r="530"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</row>
    <row r="531"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</row>
    <row r="532"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</row>
    <row r="533"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</row>
    <row r="534"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</row>
    <row r="535"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</row>
    <row r="536"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</row>
    <row r="537"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</row>
    <row r="538"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</row>
    <row r="539"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</row>
    <row r="540"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</row>
    <row r="541"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</row>
    <row r="542"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</row>
    <row r="543"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</row>
    <row r="544"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</row>
    <row r="545"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</row>
    <row r="546"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</row>
    <row r="547"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</row>
    <row r="548"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</row>
    <row r="549"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</row>
    <row r="550"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</row>
    <row r="551"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</row>
    <row r="552"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</row>
    <row r="553"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</row>
    <row r="554"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</row>
    <row r="555"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</row>
    <row r="556"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</row>
    <row r="557"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</row>
    <row r="558"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</row>
    <row r="559"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</row>
    <row r="560"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</row>
    <row r="561"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</row>
    <row r="562"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</row>
    <row r="563"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</row>
    <row r="564"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</row>
    <row r="565"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</row>
    <row r="566"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</row>
    <row r="567"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</row>
    <row r="568"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</row>
    <row r="569"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</row>
    <row r="570"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</row>
    <row r="571"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</row>
    <row r="572"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</row>
    <row r="573"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</row>
    <row r="574"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</row>
    <row r="575"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</row>
    <row r="576"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</row>
    <row r="577"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</row>
    <row r="578"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</row>
    <row r="579"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</row>
    <row r="580"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</row>
    <row r="581"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</row>
    <row r="582"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</row>
    <row r="583"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</row>
    <row r="584"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</row>
    <row r="585"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</row>
    <row r="586"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</row>
    <row r="587"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</row>
    <row r="588"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</row>
    <row r="589"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</row>
    <row r="590"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</row>
    <row r="591"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</row>
    <row r="592"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</row>
    <row r="593"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</row>
    <row r="594"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</row>
    <row r="595"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</row>
    <row r="596"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</row>
    <row r="597"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</row>
    <row r="598"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</row>
    <row r="599"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</row>
    <row r="600"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</row>
    <row r="601"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</row>
    <row r="602"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</row>
    <row r="603"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</row>
    <row r="604"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</row>
    <row r="605"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</row>
    <row r="606"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</row>
    <row r="607"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</row>
    <row r="608"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</row>
    <row r="609"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</row>
    <row r="610"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</row>
    <row r="611"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</row>
    <row r="612"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</row>
    <row r="613"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</row>
    <row r="614"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</row>
    <row r="615"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</row>
    <row r="616"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</row>
    <row r="617"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</row>
    <row r="618"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</row>
    <row r="619"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</row>
    <row r="620"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</row>
    <row r="621"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</row>
    <row r="622"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</row>
    <row r="623"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</row>
    <row r="624"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</row>
    <row r="625"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</row>
    <row r="626"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</row>
    <row r="627"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</row>
    <row r="628"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</row>
    <row r="629"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</row>
    <row r="630"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</row>
    <row r="631"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</row>
    <row r="632"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</row>
    <row r="633"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</row>
    <row r="634"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</row>
    <row r="635"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</row>
    <row r="636"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</row>
    <row r="637"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</row>
    <row r="638"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</row>
    <row r="639"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</row>
    <row r="640"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</row>
    <row r="641"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</row>
    <row r="642"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</row>
    <row r="643"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</row>
    <row r="644"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</row>
    <row r="645"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</row>
    <row r="646"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</row>
    <row r="647"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</row>
    <row r="648"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</row>
    <row r="649"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</row>
    <row r="650"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</row>
    <row r="651"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</row>
    <row r="652"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</row>
    <row r="653"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</row>
    <row r="654"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</row>
    <row r="655"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</row>
    <row r="656"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</row>
    <row r="657"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</row>
    <row r="658"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</row>
    <row r="659"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</row>
    <row r="660"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</row>
    <row r="661"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</row>
    <row r="662"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</row>
    <row r="663"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</row>
    <row r="664"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</row>
    <row r="665"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</row>
    <row r="666"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</row>
    <row r="667"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</row>
    <row r="668"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</row>
    <row r="669"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</row>
    <row r="670"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</row>
    <row r="671"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</row>
    <row r="672"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</row>
    <row r="673"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</row>
    <row r="674"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</row>
    <row r="675"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</row>
    <row r="676"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</row>
    <row r="677"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</row>
    <row r="678"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</row>
    <row r="679"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</row>
    <row r="680"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</row>
    <row r="681"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</row>
    <row r="682"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</row>
    <row r="683"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</row>
    <row r="684"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</row>
    <row r="685"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</row>
    <row r="686"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</row>
    <row r="687"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</row>
    <row r="688"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</row>
    <row r="689"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</row>
    <row r="690"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</row>
    <row r="691"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</row>
    <row r="692"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</row>
    <row r="693"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</row>
    <row r="694"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</row>
    <row r="695"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</row>
    <row r="696"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</row>
    <row r="697"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</row>
    <row r="698"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</row>
    <row r="699"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</row>
    <row r="700"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</row>
    <row r="701"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</row>
    <row r="702"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</row>
    <row r="703"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</row>
    <row r="704"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</row>
    <row r="705"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</row>
    <row r="706"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</row>
    <row r="707"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</row>
    <row r="708"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</row>
    <row r="709"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</row>
    <row r="710"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</row>
    <row r="711"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</row>
    <row r="712"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</row>
    <row r="713"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</row>
    <row r="714"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</row>
    <row r="715"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</row>
    <row r="716"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</row>
    <row r="717"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</row>
    <row r="718"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</row>
    <row r="719"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</row>
    <row r="720"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</row>
    <row r="721"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</row>
    <row r="722"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</row>
    <row r="723"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</row>
    <row r="724"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</row>
    <row r="725"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</row>
    <row r="726"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</row>
    <row r="727"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</row>
    <row r="728"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</row>
    <row r="729"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</row>
    <row r="730"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</row>
    <row r="731"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</row>
    <row r="732"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</row>
    <row r="733"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</row>
    <row r="734"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</row>
    <row r="735"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</row>
    <row r="736"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</row>
    <row r="737"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</row>
    <row r="738"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</row>
    <row r="739"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</row>
    <row r="740"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</row>
    <row r="741"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</row>
    <row r="742"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</row>
    <row r="743"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</row>
    <row r="744"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</row>
    <row r="745"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</row>
    <row r="746"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</row>
    <row r="747"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</row>
    <row r="748"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</row>
    <row r="749"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</row>
    <row r="750"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</row>
    <row r="751"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</row>
    <row r="752"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</row>
    <row r="753"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</row>
    <row r="754"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</row>
    <row r="755"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</row>
    <row r="756"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</row>
    <row r="757"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</row>
    <row r="758"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</row>
    <row r="759"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</row>
    <row r="760"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</row>
    <row r="761"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</row>
    <row r="762"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</row>
    <row r="763"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</row>
    <row r="764"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</row>
    <row r="765"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</row>
    <row r="766"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</row>
    <row r="767"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</row>
    <row r="768"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</row>
    <row r="769"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</row>
    <row r="770"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</row>
    <row r="771"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</row>
    <row r="772"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</row>
    <row r="773"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</row>
    <row r="774"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</row>
    <row r="775"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</row>
    <row r="776"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</row>
    <row r="777"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</row>
    <row r="778"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</row>
    <row r="779"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</row>
    <row r="780"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</row>
    <row r="781"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</row>
    <row r="782"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</row>
    <row r="783"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</row>
    <row r="784"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</row>
    <row r="785"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</row>
    <row r="786"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</row>
    <row r="787"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</row>
    <row r="788"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</row>
    <row r="789"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</row>
    <row r="790"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</row>
    <row r="791"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</row>
    <row r="792"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</row>
    <row r="793"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</row>
    <row r="794"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</row>
    <row r="795"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</row>
    <row r="796"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</row>
    <row r="797"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</row>
    <row r="798"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</row>
    <row r="799"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</row>
    <row r="800"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</row>
    <row r="801"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</row>
    <row r="802"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</row>
    <row r="803"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</row>
    <row r="804"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</row>
    <row r="805"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</row>
    <row r="806"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</row>
    <row r="807"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</row>
    <row r="808"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</row>
    <row r="809"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</row>
    <row r="810"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</row>
    <row r="811"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</row>
    <row r="812"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</row>
    <row r="813"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</row>
    <row r="814"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</row>
    <row r="815"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</row>
    <row r="816"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</row>
    <row r="817"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</row>
    <row r="818"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</row>
    <row r="819"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</row>
    <row r="820"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</row>
    <row r="821"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</row>
    <row r="822"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</row>
    <row r="823"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</row>
    <row r="824"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</row>
    <row r="825"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</row>
    <row r="826"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</row>
    <row r="827"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</row>
    <row r="828"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</row>
    <row r="829"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</row>
    <row r="830"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</row>
    <row r="831"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</row>
    <row r="832"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</row>
    <row r="833"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</row>
    <row r="834"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</row>
    <row r="835"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</row>
    <row r="836"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</row>
    <row r="837"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</row>
    <row r="838"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</row>
    <row r="839"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</row>
    <row r="840"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</row>
    <row r="841"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</row>
    <row r="842"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</row>
    <row r="843"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</row>
    <row r="844"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</row>
    <row r="845"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</row>
    <row r="846"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</row>
    <row r="847"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</row>
    <row r="848"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</row>
    <row r="849"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</row>
    <row r="850"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</row>
    <row r="851"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</row>
    <row r="852"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</row>
    <row r="853"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</row>
    <row r="854"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</row>
    <row r="855"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</row>
    <row r="856"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</row>
    <row r="857"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</row>
    <row r="858"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</row>
    <row r="859"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</row>
    <row r="860"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</row>
    <row r="861"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</row>
    <row r="862"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</row>
    <row r="863"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</row>
    <row r="864"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</row>
    <row r="865"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</row>
    <row r="866"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</row>
    <row r="867"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</row>
    <row r="868"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</row>
    <row r="869"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</row>
    <row r="870"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</row>
    <row r="871"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</row>
    <row r="872"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</row>
    <row r="873"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</row>
    <row r="874"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</row>
    <row r="875"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</row>
    <row r="876"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</row>
    <row r="877"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</row>
    <row r="878"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</row>
    <row r="879"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</row>
    <row r="880"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</row>
    <row r="881"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</row>
    <row r="882"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</row>
    <row r="883"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</row>
    <row r="884"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</row>
    <row r="885"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</row>
    <row r="886"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</row>
    <row r="887"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</row>
    <row r="888"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</row>
    <row r="889"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</row>
    <row r="890"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</row>
    <row r="891"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</row>
    <row r="892"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</row>
    <row r="893"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</row>
    <row r="894"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</row>
    <row r="895"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</row>
    <row r="896"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</row>
    <row r="897"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</row>
    <row r="898"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</row>
    <row r="899"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</row>
    <row r="900"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</row>
    <row r="901"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</row>
    <row r="902"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</row>
    <row r="903"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</row>
    <row r="904"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</row>
    <row r="905"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</row>
    <row r="906"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</row>
    <row r="907"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</row>
    <row r="908"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</row>
    <row r="909"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</row>
    <row r="910"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</row>
    <row r="911"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</row>
    <row r="912"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</row>
    <row r="913"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</row>
    <row r="914"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</row>
    <row r="915"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</row>
    <row r="916"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</row>
    <row r="917"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</row>
    <row r="918"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</row>
    <row r="919"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</row>
    <row r="920"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</row>
    <row r="921"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</row>
    <row r="922"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</row>
    <row r="923"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</row>
    <row r="924"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</row>
    <row r="925"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</row>
    <row r="926"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</row>
    <row r="927"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</row>
    <row r="928"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</row>
    <row r="929"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</row>
    <row r="930"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</row>
    <row r="931"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</row>
    <row r="932"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</row>
    <row r="933"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</row>
    <row r="934"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</row>
    <row r="935"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</row>
    <row r="936"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</row>
    <row r="937"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</row>
    <row r="938"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</row>
    <row r="939"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</row>
    <row r="940"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</row>
    <row r="941"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</row>
    <row r="942"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</row>
    <row r="943"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</row>
    <row r="944"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</row>
    <row r="945"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</row>
    <row r="946"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</row>
    <row r="947"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</row>
    <row r="948"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</row>
    <row r="949"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</row>
    <row r="950"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</row>
    <row r="951"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</row>
    <row r="952"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</row>
    <row r="953"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</row>
    <row r="954"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</row>
    <row r="955"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</row>
    <row r="956"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</row>
    <row r="957"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</row>
    <row r="958"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</row>
    <row r="959"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</row>
    <row r="960"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</row>
    <row r="961"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</row>
    <row r="962"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</row>
    <row r="963"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</row>
    <row r="964"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</row>
    <row r="965"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</row>
    <row r="966"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</row>
    <row r="967"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</row>
    <row r="968"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</row>
    <row r="969"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</row>
    <row r="970"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</row>
    <row r="971"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</row>
    <row r="972"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</row>
    <row r="973"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</row>
    <row r="974"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</row>
    <row r="975"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</row>
    <row r="976"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</row>
    <row r="977"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</row>
    <row r="978"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</row>
    <row r="979"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</row>
    <row r="980"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</row>
    <row r="981"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</row>
    <row r="982"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</row>
    <row r="983"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</row>
    <row r="984"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</row>
    <row r="985"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</row>
    <row r="986"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</row>
    <row r="987"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</row>
    <row r="988"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</row>
    <row r="989"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</row>
    <row r="990"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</row>
    <row r="991"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</row>
    <row r="992"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</row>
    <row r="993"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</row>
    <row r="994"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</row>
    <row r="995"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</row>
    <row r="996"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</row>
    <row r="997"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</row>
    <row r="998"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</row>
    <row r="999"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</row>
    <row r="1000">
      <c r="B1000" s="37" t="n"/>
      <c r="C1000" s="37" t="n"/>
      <c r="D1000" s="37" t="n"/>
      <c r="E1000" s="37" t="n"/>
      <c r="F1000" s="37" t="n"/>
      <c r="G1000" s="37" t="n"/>
      <c r="H1000" s="37" t="n"/>
      <c r="I1000" s="37" t="n"/>
      <c r="J1000" s="37" t="n"/>
      <c r="K1000" s="37" t="n"/>
      <c r="L1000" s="37" t="n"/>
      <c r="M1000" s="37" t="n"/>
    </row>
    <row r="1001">
      <c r="B1001" s="37" t="n"/>
      <c r="C1001" s="37" t="n"/>
      <c r="D1001" s="37" t="n"/>
      <c r="E1001" s="37" t="n"/>
      <c r="F1001" s="37" t="n"/>
      <c r="G1001" s="37" t="n"/>
      <c r="H1001" s="37" t="n"/>
      <c r="I1001" s="37" t="n"/>
      <c r="J1001" s="37" t="n"/>
      <c r="K1001" s="37" t="n"/>
      <c r="L1001" s="37" t="n"/>
      <c r="M1001" s="37" t="n"/>
    </row>
    <row r="1002">
      <c r="B1002" s="37" t="n"/>
      <c r="C1002" s="37" t="n"/>
      <c r="D1002" s="37" t="n"/>
      <c r="E1002" s="37" t="n"/>
      <c r="F1002" s="37" t="n"/>
      <c r="G1002" s="37" t="n"/>
      <c r="H1002" s="37" t="n"/>
      <c r="I1002" s="37" t="n"/>
      <c r="J1002" s="37" t="n"/>
      <c r="K1002" s="37" t="n"/>
      <c r="L1002" s="37" t="n"/>
      <c r="M1002" s="37" t="n"/>
    </row>
    <row r="1003">
      <c r="B1003" s="37" t="n"/>
      <c r="C1003" s="37" t="n"/>
      <c r="D1003" s="37" t="n"/>
      <c r="E1003" s="37" t="n"/>
      <c r="F1003" s="37" t="n"/>
      <c r="G1003" s="37" t="n"/>
      <c r="H1003" s="37" t="n"/>
      <c r="I1003" s="37" t="n"/>
      <c r="J1003" s="37" t="n"/>
      <c r="K1003" s="37" t="n"/>
      <c r="L1003" s="37" t="n"/>
      <c r="M1003" s="37" t="n"/>
    </row>
    <row r="1004">
      <c r="B1004" s="37" t="n"/>
      <c r="C1004" s="37" t="n"/>
      <c r="D1004" s="37" t="n"/>
      <c r="E1004" s="37" t="n"/>
      <c r="F1004" s="37" t="n"/>
      <c r="G1004" s="37" t="n"/>
      <c r="H1004" s="37" t="n"/>
      <c r="I1004" s="37" t="n"/>
      <c r="J1004" s="37" t="n"/>
      <c r="K1004" s="37" t="n"/>
      <c r="L1004" s="37" t="n"/>
      <c r="M1004" s="37" t="n"/>
    </row>
    <row r="1005">
      <c r="B1005" s="37" t="n"/>
      <c r="C1005" s="37" t="n"/>
      <c r="D1005" s="37" t="n"/>
      <c r="E1005" s="37" t="n"/>
      <c r="F1005" s="37" t="n"/>
      <c r="G1005" s="37" t="n"/>
      <c r="H1005" s="37" t="n"/>
      <c r="I1005" s="37" t="n"/>
      <c r="J1005" s="37" t="n"/>
      <c r="K1005" s="37" t="n"/>
      <c r="L1005" s="37" t="n"/>
      <c r="M1005" s="37" t="n"/>
    </row>
    <row r="1006">
      <c r="B1006" s="37" t="n"/>
      <c r="C1006" s="37" t="n"/>
      <c r="D1006" s="37" t="n"/>
      <c r="E1006" s="37" t="n"/>
      <c r="F1006" s="37" t="n"/>
      <c r="G1006" s="37" t="n"/>
      <c r="H1006" s="37" t="n"/>
      <c r="I1006" s="37" t="n"/>
      <c r="J1006" s="37" t="n"/>
      <c r="K1006" s="37" t="n"/>
      <c r="L1006" s="37" t="n"/>
      <c r="M1006" s="37" t="n"/>
    </row>
    <row r="1007">
      <c r="B1007" s="37" t="n"/>
      <c r="C1007" s="37" t="n"/>
      <c r="D1007" s="37" t="n"/>
      <c r="E1007" s="37" t="n"/>
      <c r="F1007" s="37" t="n"/>
      <c r="G1007" s="37" t="n"/>
      <c r="H1007" s="37" t="n"/>
      <c r="I1007" s="37" t="n"/>
      <c r="J1007" s="37" t="n"/>
      <c r="K1007" s="37" t="n"/>
      <c r="L1007" s="37" t="n"/>
      <c r="M1007" s="37" t="n"/>
    </row>
    <row r="1008">
      <c r="B1008" s="37" t="n"/>
      <c r="C1008" s="37" t="n"/>
      <c r="D1008" s="37" t="n"/>
      <c r="E1008" s="37" t="n"/>
      <c r="F1008" s="37" t="n"/>
      <c r="G1008" s="37" t="n"/>
      <c r="H1008" s="37" t="n"/>
      <c r="I1008" s="37" t="n"/>
      <c r="J1008" s="37" t="n"/>
      <c r="K1008" s="37" t="n"/>
      <c r="L1008" s="37" t="n"/>
      <c r="M1008" s="37" t="n"/>
    </row>
    <row r="1009">
      <c r="B1009" s="37" t="n"/>
      <c r="C1009" s="37" t="n"/>
      <c r="D1009" s="37" t="n"/>
      <c r="E1009" s="37" t="n"/>
      <c r="F1009" s="37" t="n"/>
      <c r="G1009" s="37" t="n"/>
      <c r="H1009" s="37" t="n"/>
      <c r="I1009" s="37" t="n"/>
      <c r="J1009" s="37" t="n"/>
      <c r="K1009" s="37" t="n"/>
      <c r="L1009" s="37" t="n"/>
      <c r="M1009" s="37" t="n"/>
    </row>
  </sheetData>
  <mergeCells count="20">
    <mergeCell ref="A17:P17"/>
    <mergeCell ref="A62:P62"/>
    <mergeCell ref="A86:F86"/>
    <mergeCell ref="A63:P63"/>
    <mergeCell ref="A13:M13"/>
    <mergeCell ref="A19:M19"/>
    <mergeCell ref="A65:H65"/>
    <mergeCell ref="A32:F32"/>
    <mergeCell ref="A15:M15"/>
    <mergeCell ref="A59:P59"/>
    <mergeCell ref="D53:H53"/>
    <mergeCell ref="A60:P60"/>
    <mergeCell ref="A1:M1"/>
    <mergeCell ref="A44:F44"/>
    <mergeCell ref="A61:P61"/>
    <mergeCell ref="A16:M16"/>
    <mergeCell ref="A52:H52"/>
    <mergeCell ref="A18:M18"/>
    <mergeCell ref="A21:M21"/>
    <mergeCell ref="A2:M2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5"/>
  <sheetViews>
    <sheetView showGridLines="0" workbookViewId="0">
      <selection activeCell="A1" sqref="A1"/>
    </sheetView>
  </sheetViews>
  <sheetFormatPr baseColWidth="8" defaultColWidth="14.43" defaultRowHeight="15" customHeight="1"/>
  <cols>
    <col width="34.71" customWidth="1" style="53" min="1" max="1"/>
    <col width="16.71" customWidth="1" style="53" min="2" max="2"/>
    <col width="14.43" customWidth="1" style="53" min="3" max="3"/>
    <col width="15.57" customWidth="1" style="53" min="4" max="13"/>
    <col width="58" customWidth="1" style="53" min="7" max="7"/>
    <col width="12" customWidth="1" style="53" min="14" max="14"/>
    <col width="8.710000000000001" customWidth="1" style="53" min="17" max="26"/>
  </cols>
  <sheetData>
    <row r="1">
      <c r="A1" s="1" t="inlineStr">
        <is>
          <t>Ex 2 - Alunos e professores</t>
        </is>
      </c>
      <c r="N1" s="38" t="n"/>
      <c r="O1" s="38" t="n"/>
      <c r="P1" s="39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>
      <c r="A2" s="41" t="inlineStr">
        <is>
          <t>Os dados a seguir relacionam o numero de alunos e o numero de professores em instituicoes de ensino superior.
Variaveis observadas:
- nome da instituicao;
- numero de alunos;
- numero de professores.
Calcule e interprete:
a) a correlacao linear entre numero de alunos e numero de professores;
b) a reta de regressao para explicar o numero de professores pelo numero de alunos;
c) o coeficiente de determinacao R2;
d) a decomposicao da variacao em SQReg, SQRes e SQTot;
e) a ANOVA da regressao, incluindo gl, QM e F;
f) a existencia de instituicoes com residuos altos ou comportamento atipico/outlier;
g) os limites da interpretacao: associacao nao implica causalidade.</t>
        </is>
      </c>
      <c r="N2" s="42" t="n"/>
      <c r="O2" s="42" t="n"/>
      <c r="P2" s="43" t="n"/>
    </row>
    <row r="3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</row>
    <row r="4">
      <c r="A4" s="6" t="inlineStr">
        <is>
          <t>Observacao inicial e perguntas orientadoras</t>
        </is>
      </c>
      <c r="N4" s="45" t="n"/>
      <c r="O4" s="45" t="n"/>
      <c r="P4" s="46" t="n"/>
    </row>
    <row r="5">
      <c r="A5" s="24" t="inlineStr">
        <is>
          <t>Qual e a variavel explicativa? x = numero de alunos.
A escolha de x faz sentido substantivo? A regressao deve ser lida como previsao do numero de professores a partir do porte da instituicao, nao como prova causal.</t>
        </is>
      </c>
      <c r="N5" s="24" t="n"/>
      <c r="O5" s="24" t="n"/>
      <c r="P5" s="24" t="n"/>
    </row>
    <row r="6">
      <c r="A6" s="24" t="inlineStr">
        <is>
          <t>Qual e a variavel resposta? y = numero de professores.
O que significa prever professores neste contexto? A unidade de b deve ser interpretada por aluno ou por blocos de 1000 alunos para fazer sentido didatico?</t>
        </is>
      </c>
      <c r="N6" s="24" t="n"/>
      <c r="O6" s="24" t="n"/>
      <c r="P6" s="24" t="n"/>
    </row>
    <row r="7">
      <c r="A7" s="24" t="inlineStr">
        <is>
          <t>A relacao parece aproximadamente linear?
Compare o grafico com r, b e R2. R2 indica a proporcao da variacao de professores explicada pela reta; ele nao prova que alunos causam contratacao de professores.</t>
        </is>
      </c>
      <c r="N7" s="24" t="n"/>
      <c r="O7" s="24" t="n"/>
      <c r="P7" s="24" t="n"/>
    </row>
    <row r="8">
      <c r="A8" s="24" t="inlineStr">
        <is>
          <t>Ha instituicoes com comportamento atipico/outlier?
Use residuos, SQReg, SQRes, SQTot e R2 para avaliar o ajuste. Na ANOVA, identifique gl, QM e F: a variacao explicada pela regressao e grande em relacao a variacao residual? Quais instituicoes merecem leitura critica antes de aceitar a reta como resumo do conjunto?</t>
        </is>
      </c>
      <c r="N8" s="24" t="n"/>
      <c r="O8" s="24" t="n"/>
      <c r="P8" s="2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</row>
    <row r="10">
      <c r="A10" s="47" t="inlineStr">
        <is>
          <t>Dados e calculo manual por somatorios</t>
        </is>
      </c>
      <c r="N10" s="45" t="n"/>
      <c r="O10" s="45" t="n"/>
      <c r="P10" s="46" t="n"/>
    </row>
    <row r="11">
      <c r="A11" s="17" t="inlineStr">
        <is>
          <t>Caso</t>
        </is>
      </c>
      <c r="B11" s="49" t="inlineStr">
        <is>
          <t>x = alunos</t>
        </is>
      </c>
      <c r="C11" s="49" t="inlineStr">
        <is>
          <t>y = professores</t>
        </is>
      </c>
      <c r="D11" s="28" t="inlineStr">
        <is>
          <t>dx</t>
        </is>
      </c>
      <c r="E11" s="28" t="inlineStr">
        <is>
          <t>dy</t>
        </is>
      </c>
      <c r="F11" s="28" t="inlineStr">
        <is>
          <t>dx*dy</t>
        </is>
      </c>
      <c r="G11" s="28" t="inlineStr">
        <is>
          <t>dx^2</t>
        </is>
      </c>
      <c r="H11" s="28" t="inlineStr">
        <is>
          <t>dy^2 / SQTot</t>
        </is>
      </c>
      <c r="I11" s="28" t="inlineStr">
        <is>
          <t>y_chapeu</t>
        </is>
      </c>
      <c r="J11" s="28" t="inlineStr">
        <is>
          <t>residuo</t>
        </is>
      </c>
      <c r="K11" s="28" t="inlineStr">
        <is>
          <t>residuo^2 / SQRes</t>
        </is>
      </c>
      <c r="L11" s="28" t="inlineStr">
        <is>
          <t>y_chapeu-y_barra</t>
        </is>
      </c>
      <c r="M11" s="28" t="inlineStr">
        <is>
          <t>SQReg parcela</t>
        </is>
      </c>
      <c r="N11" s="8" t="inlineStr">
        <is>
          <t>Erro-padrão residual</t>
        </is>
      </c>
      <c r="O11" s="8" t="inlineStr">
        <is>
          <t>residuo padronizado</t>
        </is>
      </c>
      <c r="P11" s="8" t="inlineStr">
        <is>
          <t>alerta |z|&gt;2</t>
        </is>
      </c>
    </row>
    <row r="12">
      <c r="A12" s="34" t="inlineStr">
        <is>
          <t>PUC de Minas Gerais</t>
        </is>
      </c>
      <c r="B12" s="50" t="n">
        <v>13147</v>
      </c>
      <c r="C12" s="50" t="n">
        <v>713</v>
      </c>
      <c r="D12" s="31">
        <f>B12-$B$46</f>
        <v/>
      </c>
      <c r="E12" s="31">
        <f>C12-$B$47</f>
        <v/>
      </c>
      <c r="F12" s="31">
        <f>D12*E12</f>
        <v/>
      </c>
      <c r="G12" s="31">
        <f>D12^2</f>
        <v/>
      </c>
      <c r="H12" s="31">
        <f>E12^2</f>
        <v/>
      </c>
      <c r="I12" s="31">
        <f>$B$54+$B$53*B12</f>
        <v/>
      </c>
      <c r="J12" s="31">
        <f>C12-I12</f>
        <v/>
      </c>
      <c r="K12" s="31">
        <f>J12^2</f>
        <v/>
      </c>
      <c r="L12" s="31">
        <f>I12-$B$47</f>
        <v/>
      </c>
      <c r="M12" s="31">
        <f>L12^2</f>
        <v/>
      </c>
      <c r="N12" s="10">
        <f>SQRT($B$59/$C$59)</f>
        <v/>
      </c>
      <c r="O12" s="10">
        <f>J12/N12</f>
        <v/>
      </c>
      <c r="P12" s="10">
        <f>IF(ABS(O12)&gt;2;"investigar";"")</f>
        <v/>
      </c>
    </row>
    <row r="13">
      <c r="A13" s="34" t="inlineStr">
        <is>
          <t>Federal de Juiz de Fora</t>
        </is>
      </c>
      <c r="B13" s="50" t="n">
        <v>6606</v>
      </c>
      <c r="C13" s="50" t="n">
        <v>781</v>
      </c>
      <c r="D13" s="31">
        <f>B13-$B$46</f>
        <v/>
      </c>
      <c r="E13" s="31">
        <f>C13-$B$47</f>
        <v/>
      </c>
      <c r="F13" s="31">
        <f>D13*E13</f>
        <v/>
      </c>
      <c r="G13" s="31">
        <f>D13^2</f>
        <v/>
      </c>
      <c r="H13" s="31">
        <f>E13^2</f>
        <v/>
      </c>
      <c r="I13" s="31">
        <f>$B$54+$B$53*B13</f>
        <v/>
      </c>
      <c r="J13" s="31">
        <f>C13-I13</f>
        <v/>
      </c>
      <c r="K13" s="31">
        <f>J13^2</f>
        <v/>
      </c>
      <c r="L13" s="31">
        <f>I13-$B$47</f>
        <v/>
      </c>
      <c r="M13" s="31">
        <f>L13^2</f>
        <v/>
      </c>
      <c r="N13" s="10">
        <f>SQRT($B$59/$C$59)</f>
        <v/>
      </c>
      <c r="O13" s="10">
        <f>J13/N13</f>
        <v/>
      </c>
      <c r="P13" s="10">
        <f>IF(ABS(O13)&gt;2;"investigar";"")</f>
        <v/>
      </c>
    </row>
    <row r="14">
      <c r="A14" s="34" t="inlineStr">
        <is>
          <t>Federal de Minas Gerais</t>
        </is>
      </c>
      <c r="B14" s="50" t="n">
        <v>23759</v>
      </c>
      <c r="C14" s="50" t="n">
        <v>2194</v>
      </c>
      <c r="D14" s="31">
        <f>B14-$B$46</f>
        <v/>
      </c>
      <c r="E14" s="31">
        <f>C14-$B$47</f>
        <v/>
      </c>
      <c r="F14" s="31">
        <f>D14*E14</f>
        <v/>
      </c>
      <c r="G14" s="31">
        <f>D14^2</f>
        <v/>
      </c>
      <c r="H14" s="31">
        <f>E14^2</f>
        <v/>
      </c>
      <c r="I14" s="31">
        <f>$B$54+$B$53*B14</f>
        <v/>
      </c>
      <c r="J14" s="31">
        <f>C14-I14</f>
        <v/>
      </c>
      <c r="K14" s="31">
        <f>J14^2</f>
        <v/>
      </c>
      <c r="L14" s="31">
        <f>I14-$B$47</f>
        <v/>
      </c>
      <c r="M14" s="31">
        <f>L14^2</f>
        <v/>
      </c>
      <c r="N14" s="10">
        <f>SQRT($B$59/$C$59)</f>
        <v/>
      </c>
      <c r="O14" s="10">
        <f>J14/N14</f>
        <v/>
      </c>
      <c r="P14" s="10">
        <f>IF(ABS(O14)&gt;2;"investigar";"")</f>
        <v/>
      </c>
    </row>
    <row r="15">
      <c r="A15" s="34" t="inlineStr">
        <is>
          <t>Federal de Ouro Preto</t>
        </is>
      </c>
      <c r="B15" s="50" t="n">
        <v>1106</v>
      </c>
      <c r="C15" s="50" t="n">
        <v>178</v>
      </c>
      <c r="D15" s="31">
        <f>B15-$B$46</f>
        <v/>
      </c>
      <c r="E15" s="31">
        <f>C15-$B$47</f>
        <v/>
      </c>
      <c r="F15" s="31">
        <f>D15*E15</f>
        <v/>
      </c>
      <c r="G15" s="31">
        <f>D15^2</f>
        <v/>
      </c>
      <c r="H15" s="31">
        <f>E15^2</f>
        <v/>
      </c>
      <c r="I15" s="31">
        <f>$B$54+$B$53*B15</f>
        <v/>
      </c>
      <c r="J15" s="31">
        <f>C15-I15</f>
        <v/>
      </c>
      <c r="K15" s="31">
        <f>J15^2</f>
        <v/>
      </c>
      <c r="L15" s="31">
        <f>I15-$B$47</f>
        <v/>
      </c>
      <c r="M15" s="31">
        <f>L15^2</f>
        <v/>
      </c>
      <c r="N15" s="10">
        <f>SQRT($B$59/$C$59)</f>
        <v/>
      </c>
      <c r="O15" s="10">
        <f>J15/N15</f>
        <v/>
      </c>
      <c r="P15" s="10">
        <f>IF(ABS(O15)&gt;2;"investigar";"")</f>
        <v/>
      </c>
    </row>
    <row r="16">
      <c r="A16" s="34" t="inlineStr">
        <is>
          <t>Federal de Uberlandia</t>
        </is>
      </c>
      <c r="B16" s="50" t="n">
        <v>6651</v>
      </c>
      <c r="C16" s="50" t="n">
        <v>765</v>
      </c>
      <c r="D16" s="31">
        <f>B16-$B$46</f>
        <v/>
      </c>
      <c r="E16" s="31">
        <f>C16-$B$47</f>
        <v/>
      </c>
      <c r="F16" s="31">
        <f>D16*E16</f>
        <v/>
      </c>
      <c r="G16" s="31">
        <f>D16^2</f>
        <v/>
      </c>
      <c r="H16" s="31">
        <f>E16^2</f>
        <v/>
      </c>
      <c r="I16" s="31">
        <f>$B$54+$B$53*B16</f>
        <v/>
      </c>
      <c r="J16" s="31">
        <f>C16-I16</f>
        <v/>
      </c>
      <c r="K16" s="31">
        <f>J16^2</f>
        <v/>
      </c>
      <c r="L16" s="31">
        <f>I16-$B$47</f>
        <v/>
      </c>
      <c r="M16" s="31">
        <f>L16^2</f>
        <v/>
      </c>
      <c r="N16" s="10">
        <f>SQRT($B$59/$C$59)</f>
        <v/>
      </c>
      <c r="O16" s="10">
        <f>J16/N16</f>
        <v/>
      </c>
      <c r="P16" s="10">
        <f>IF(ABS(O16)&gt;2;"investigar";"")</f>
        <v/>
      </c>
    </row>
    <row r="17">
      <c r="A17" s="34" t="inlineStr">
        <is>
          <t>Federal de Vicosa</t>
        </is>
      </c>
      <c r="B17" s="50" t="n">
        <v>5842</v>
      </c>
      <c r="C17" s="50" t="n">
        <v>667</v>
      </c>
      <c r="D17" s="31">
        <f>B17-$B$46</f>
        <v/>
      </c>
      <c r="E17" s="31">
        <f>C17-$B$47</f>
        <v/>
      </c>
      <c r="F17" s="31">
        <f>D17*E17</f>
        <v/>
      </c>
      <c r="G17" s="31">
        <f>D17^2</f>
        <v/>
      </c>
      <c r="H17" s="31">
        <f>E17^2</f>
        <v/>
      </c>
      <c r="I17" s="31">
        <f>$B$54+$B$53*B17</f>
        <v/>
      </c>
      <c r="J17" s="31">
        <f>C17-I17</f>
        <v/>
      </c>
      <c r="K17" s="31">
        <f>J17^2</f>
        <v/>
      </c>
      <c r="L17" s="31">
        <f>I17-$B$47</f>
        <v/>
      </c>
      <c r="M17" s="31">
        <f>L17^2</f>
        <v/>
      </c>
      <c r="N17" s="10">
        <f>SQRT($B$59/$C$59)</f>
        <v/>
      </c>
      <c r="O17" s="10">
        <f>J17/N17</f>
        <v/>
      </c>
      <c r="P17" s="10">
        <f>IF(ABS(O17)&gt;2;"investigar";"")</f>
        <v/>
      </c>
    </row>
    <row r="18">
      <c r="A18" s="34" t="inlineStr">
        <is>
          <t>PUC do Rio Grande do Sul</t>
        </is>
      </c>
      <c r="B18" s="50" t="n">
        <v>23045</v>
      </c>
      <c r="C18" s="50" t="n">
        <v>1459</v>
      </c>
      <c r="D18" s="31">
        <f>B18-$B$46</f>
        <v/>
      </c>
      <c r="E18" s="31">
        <f>C18-$B$47</f>
        <v/>
      </c>
      <c r="F18" s="31">
        <f>D18*E18</f>
        <v/>
      </c>
      <c r="G18" s="31">
        <f>D18^2</f>
        <v/>
      </c>
      <c r="H18" s="31">
        <f>E18^2</f>
        <v/>
      </c>
      <c r="I18" s="31">
        <f>$B$54+$B$53*B18</f>
        <v/>
      </c>
      <c r="J18" s="31">
        <f>C18-I18</f>
        <v/>
      </c>
      <c r="K18" s="31">
        <f>J18^2</f>
        <v/>
      </c>
      <c r="L18" s="31">
        <f>I18-$B$47</f>
        <v/>
      </c>
      <c r="M18" s="31">
        <f>L18^2</f>
        <v/>
      </c>
      <c r="N18" s="10">
        <f>SQRT($B$59/$C$59)</f>
        <v/>
      </c>
      <c r="O18" s="10">
        <f>J18/N18</f>
        <v/>
      </c>
      <c r="P18" s="10">
        <f>IF(ABS(O18)&gt;2;"investigar";"")</f>
        <v/>
      </c>
    </row>
    <row r="19">
      <c r="A19" s="34" t="inlineStr">
        <is>
          <t>Catolica de Pelotas</t>
        </is>
      </c>
      <c r="B19" s="50" t="n">
        <v>5711</v>
      </c>
      <c r="C19" s="50" t="n">
        <v>381</v>
      </c>
      <c r="D19" s="31">
        <f>B19-$B$46</f>
        <v/>
      </c>
      <c r="E19" s="31">
        <f>C19-$B$47</f>
        <v/>
      </c>
      <c r="F19" s="31">
        <f>D19*E19</f>
        <v/>
      </c>
      <c r="G19" s="31">
        <f>D19^2</f>
        <v/>
      </c>
      <c r="H19" s="31">
        <f>E19^2</f>
        <v/>
      </c>
      <c r="I19" s="31">
        <f>$B$54+$B$53*B19</f>
        <v/>
      </c>
      <c r="J19" s="31">
        <f>C19-I19</f>
        <v/>
      </c>
      <c r="K19" s="31">
        <f>J19^2</f>
        <v/>
      </c>
      <c r="L19" s="31">
        <f>I19-$B$47</f>
        <v/>
      </c>
      <c r="M19" s="31">
        <f>L19^2</f>
        <v/>
      </c>
      <c r="N19" s="10">
        <f>SQRT($B$59/$C$59)</f>
        <v/>
      </c>
      <c r="O19" s="10">
        <f>J19/N19</f>
        <v/>
      </c>
      <c r="P19" s="10">
        <f>IF(ABS(O19)&gt;2;"investigar";"")</f>
        <v/>
      </c>
    </row>
    <row r="20">
      <c r="A20" s="34" t="inlineStr">
        <is>
          <t>Univ. de Caxias do Sul</t>
        </is>
      </c>
      <c r="B20" s="50" t="n">
        <v>9196</v>
      </c>
      <c r="C20" s="50" t="n">
        <v>497</v>
      </c>
      <c r="D20" s="31">
        <f>B20-$B$46</f>
        <v/>
      </c>
      <c r="E20" s="31">
        <f>C20-$B$47</f>
        <v/>
      </c>
      <c r="F20" s="31">
        <f>D20*E20</f>
        <v/>
      </c>
      <c r="G20" s="31">
        <f>D20^2</f>
        <v/>
      </c>
      <c r="H20" s="31">
        <f>E20^2</f>
        <v/>
      </c>
      <c r="I20" s="31">
        <f>$B$54+$B$53*B20</f>
        <v/>
      </c>
      <c r="J20" s="31">
        <f>C20-I20</f>
        <v/>
      </c>
      <c r="K20" s="31">
        <f>J20^2</f>
        <v/>
      </c>
      <c r="L20" s="31">
        <f>I20-$B$47</f>
        <v/>
      </c>
      <c r="M20" s="31">
        <f>L20^2</f>
        <v/>
      </c>
      <c r="N20" s="10">
        <f>SQRT($B$59/$C$59)</f>
        <v/>
      </c>
      <c r="O20" s="10">
        <f>J20/N20</f>
        <v/>
      </c>
      <c r="P20" s="10">
        <f>IF(ABS(O20)&gt;2;"investigar";"")</f>
        <v/>
      </c>
    </row>
    <row r="21">
      <c r="A21" s="34" t="inlineStr">
        <is>
          <t>Federal de Pelotas</t>
        </is>
      </c>
      <c r="B21" s="50" t="n">
        <v>4877</v>
      </c>
      <c r="C21" s="50" t="n">
        <v>903</v>
      </c>
      <c r="D21" s="31">
        <f>B21-$B$46</f>
        <v/>
      </c>
      <c r="E21" s="31">
        <f>C21-$B$47</f>
        <v/>
      </c>
      <c r="F21" s="31">
        <f>D21*E21</f>
        <v/>
      </c>
      <c r="G21" s="31">
        <f>D21^2</f>
        <v/>
      </c>
      <c r="H21" s="31">
        <f>E21^2</f>
        <v/>
      </c>
      <c r="I21" s="31">
        <f>$B$54+$B$53*B21</f>
        <v/>
      </c>
      <c r="J21" s="31">
        <f>C21-I21</f>
        <v/>
      </c>
      <c r="K21" s="31">
        <f>J21^2</f>
        <v/>
      </c>
      <c r="L21" s="31">
        <f>I21-$B$47</f>
        <v/>
      </c>
      <c r="M21" s="31">
        <f>L21^2</f>
        <v/>
      </c>
      <c r="N21" s="10">
        <f>SQRT($B$59/$C$59)</f>
        <v/>
      </c>
      <c r="O21" s="10">
        <f>J21/N21</f>
        <v/>
      </c>
      <c r="P21" s="10">
        <f>IF(ABS(O21)&gt;2;"investigar";"")</f>
        <v/>
      </c>
    </row>
    <row r="22">
      <c r="A22" s="34" t="inlineStr">
        <is>
          <t>Federal do Rio Gde. do Sul</t>
        </is>
      </c>
      <c r="B22" s="50" t="n">
        <v>16985</v>
      </c>
      <c r="C22" s="50" t="n">
        <v>2451</v>
      </c>
      <c r="D22" s="31">
        <f>B22-$B$46</f>
        <v/>
      </c>
      <c r="E22" s="31">
        <f>C22-$B$47</f>
        <v/>
      </c>
      <c r="F22" s="31">
        <f>D22*E22</f>
        <v/>
      </c>
      <c r="G22" s="31">
        <f>D22^2</f>
        <v/>
      </c>
      <c r="H22" s="31">
        <f>E22^2</f>
        <v/>
      </c>
      <c r="I22" s="31">
        <f>$B$54+$B$53*B22</f>
        <v/>
      </c>
      <c r="J22" s="31">
        <f>C22-I22</f>
        <v/>
      </c>
      <c r="K22" s="31">
        <f>J22^2</f>
        <v/>
      </c>
      <c r="L22" s="31">
        <f>I22-$B$47</f>
        <v/>
      </c>
      <c r="M22" s="31">
        <f>L22^2</f>
        <v/>
      </c>
      <c r="N22" s="10">
        <f>SQRT($B$59/$C$59)</f>
        <v/>
      </c>
      <c r="O22" s="10">
        <f>J22/N22</f>
        <v/>
      </c>
      <c r="P22" s="10">
        <f>IF(ABS(O22)&gt;2;"investigar";"")</f>
        <v/>
      </c>
    </row>
    <row r="23">
      <c r="A23" s="34" t="inlineStr">
        <is>
          <t>Federal de Santa Maria</t>
        </is>
      </c>
      <c r="B23" s="50" t="n">
        <v>9693</v>
      </c>
      <c r="C23" s="50" t="n">
        <v>1362</v>
      </c>
      <c r="D23" s="31">
        <f>B23-$B$46</f>
        <v/>
      </c>
      <c r="E23" s="31">
        <f>C23-$B$47</f>
        <v/>
      </c>
      <c r="F23" s="31">
        <f>D23*E23</f>
        <v/>
      </c>
      <c r="G23" s="31">
        <f>D23^2</f>
        <v/>
      </c>
      <c r="H23" s="31">
        <f>E23^2</f>
        <v/>
      </c>
      <c r="I23" s="31">
        <f>$B$54+$B$53*B23</f>
        <v/>
      </c>
      <c r="J23" s="31">
        <f>C23-I23</f>
        <v/>
      </c>
      <c r="K23" s="31">
        <f>J23^2</f>
        <v/>
      </c>
      <c r="L23" s="31">
        <f>I23-$B$47</f>
        <v/>
      </c>
      <c r="M23" s="31">
        <f>L23^2</f>
        <v/>
      </c>
      <c r="N23" s="10">
        <f>SQRT($B$59/$C$59)</f>
        <v/>
      </c>
      <c r="O23" s="10">
        <f>J23/N23</f>
        <v/>
      </c>
      <c r="P23" s="10">
        <f>IF(ABS(O23)&gt;2;"investigar";"")</f>
        <v/>
      </c>
    </row>
    <row r="24">
      <c r="A24" s="34" t="inlineStr">
        <is>
          <t>Univ. de Passo Fundo</t>
        </is>
      </c>
      <c r="B24" s="50" t="n">
        <v>7450</v>
      </c>
      <c r="C24" s="50" t="n">
        <v>530</v>
      </c>
      <c r="D24" s="31">
        <f>B24-$B$46</f>
        <v/>
      </c>
      <c r="E24" s="31">
        <f>C24-$B$47</f>
        <v/>
      </c>
      <c r="F24" s="31">
        <f>D24*E24</f>
        <v/>
      </c>
      <c r="G24" s="31">
        <f>D24^2</f>
        <v/>
      </c>
      <c r="H24" s="31">
        <f>E24^2</f>
        <v/>
      </c>
      <c r="I24" s="31">
        <f>$B$54+$B$53*B24</f>
        <v/>
      </c>
      <c r="J24" s="31">
        <f>C24-I24</f>
        <v/>
      </c>
      <c r="K24" s="31">
        <f>J24^2</f>
        <v/>
      </c>
      <c r="L24" s="31">
        <f>I24-$B$47</f>
        <v/>
      </c>
      <c r="M24" s="31">
        <f>L24^2</f>
        <v/>
      </c>
      <c r="N24" s="10">
        <f>SQRT($B$59/$C$59)</f>
        <v/>
      </c>
      <c r="O24" s="10">
        <f>J24/N24</f>
        <v/>
      </c>
      <c r="P24" s="10">
        <f>IF(ABS(O24)&gt;2;"investigar";"")</f>
        <v/>
      </c>
    </row>
    <row r="25">
      <c r="A25" s="34" t="inlineStr">
        <is>
          <t>Univ. do Rio Grande</t>
        </is>
      </c>
      <c r="B25" s="50" t="n">
        <v>3476</v>
      </c>
      <c r="C25" s="50" t="n">
        <v>490</v>
      </c>
      <c r="D25" s="31">
        <f>B25-$B$46</f>
        <v/>
      </c>
      <c r="E25" s="31">
        <f>C25-$B$47</f>
        <v/>
      </c>
      <c r="F25" s="31">
        <f>D25*E25</f>
        <v/>
      </c>
      <c r="G25" s="31">
        <f>D25^2</f>
        <v/>
      </c>
      <c r="H25" s="31">
        <f>E25^2</f>
        <v/>
      </c>
      <c r="I25" s="31">
        <f>$B$54+$B$53*B25</f>
        <v/>
      </c>
      <c r="J25" s="31">
        <f>C25-I25</f>
        <v/>
      </c>
      <c r="K25" s="31">
        <f>J25^2</f>
        <v/>
      </c>
      <c r="L25" s="31">
        <f>I25-$B$47</f>
        <v/>
      </c>
      <c r="M25" s="31">
        <f>L25^2</f>
        <v/>
      </c>
      <c r="N25" s="10">
        <f>SQRT($B$59/$C$59)</f>
        <v/>
      </c>
      <c r="O25" s="10">
        <f>J25/N25</f>
        <v/>
      </c>
      <c r="P25" s="10">
        <f>IF(ABS(O25)&gt;2;"investigar";"")</f>
        <v/>
      </c>
    </row>
    <row r="26">
      <c r="A26" s="34" t="inlineStr">
        <is>
          <t>Univ. do Vale do Rio dos Sinos</t>
        </is>
      </c>
      <c r="B26" s="50" t="n">
        <v>21000</v>
      </c>
      <c r="C26" s="50" t="n">
        <v>650</v>
      </c>
      <c r="D26" s="31">
        <f>B26-$B$46</f>
        <v/>
      </c>
      <c r="E26" s="31">
        <f>C26-$B$47</f>
        <v/>
      </c>
      <c r="F26" s="31">
        <f>D26*E26</f>
        <v/>
      </c>
      <c r="G26" s="31">
        <f>D26^2</f>
        <v/>
      </c>
      <c r="H26" s="31">
        <f>E26^2</f>
        <v/>
      </c>
      <c r="I26" s="31">
        <f>$B$54+$B$53*B26</f>
        <v/>
      </c>
      <c r="J26" s="31">
        <f>C26-I26</f>
        <v/>
      </c>
      <c r="K26" s="31">
        <f>J26^2</f>
        <v/>
      </c>
      <c r="L26" s="31">
        <f>I26-$B$47</f>
        <v/>
      </c>
      <c r="M26" s="31">
        <f>L26^2</f>
        <v/>
      </c>
      <c r="N26" s="10">
        <f>SQRT($B$59/$C$59)</f>
        <v/>
      </c>
      <c r="O26" s="10">
        <f>J26/N26</f>
        <v/>
      </c>
      <c r="P26" s="10">
        <f>IF(ABS(O26)&gt;2;"investigar";"")</f>
        <v/>
      </c>
    </row>
    <row r="27">
      <c r="A27" s="34" t="inlineStr">
        <is>
          <t>PUC do Rio de Janeiro</t>
        </is>
      </c>
      <c r="B27" s="50" t="n">
        <v>8232</v>
      </c>
      <c r="C27" s="50" t="n">
        <v>788</v>
      </c>
      <c r="D27" s="31">
        <f>B27-$B$46</f>
        <v/>
      </c>
      <c r="E27" s="31">
        <f>C27-$B$47</f>
        <v/>
      </c>
      <c r="F27" s="31">
        <f>D27*E27</f>
        <v/>
      </c>
      <c r="G27" s="31">
        <f>D27^2</f>
        <v/>
      </c>
      <c r="H27" s="31">
        <f>E27^2</f>
        <v/>
      </c>
      <c r="I27" s="31">
        <f>$B$54+$B$53*B27</f>
        <v/>
      </c>
      <c r="J27" s="31">
        <f>C27-I27</f>
        <v/>
      </c>
      <c r="K27" s="31">
        <f>J27^2</f>
        <v/>
      </c>
      <c r="L27" s="31">
        <f>I27-$B$47</f>
        <v/>
      </c>
      <c r="M27" s="31">
        <f>L27^2</f>
        <v/>
      </c>
      <c r="N27" s="10">
        <f>SQRT($B$59/$C$59)</f>
        <v/>
      </c>
      <c r="O27" s="10">
        <f>J27/N27</f>
        <v/>
      </c>
      <c r="P27" s="10">
        <f>IF(ABS(O27)&gt;2;"investigar";"")</f>
        <v/>
      </c>
    </row>
    <row r="28">
      <c r="A28" s="34" t="inlineStr">
        <is>
          <t>Catolica de Petropolis</t>
        </is>
      </c>
      <c r="B28" s="50" t="n">
        <v>4200</v>
      </c>
      <c r="C28" s="50" t="n">
        <v>298</v>
      </c>
      <c r="D28" s="31">
        <f>B28-$B$46</f>
        <v/>
      </c>
      <c r="E28" s="31">
        <f>C28-$B$47</f>
        <v/>
      </c>
      <c r="F28" s="31">
        <f>D28*E28</f>
        <v/>
      </c>
      <c r="G28" s="31">
        <f>D28^2</f>
        <v/>
      </c>
      <c r="H28" s="31">
        <f>E28^2</f>
        <v/>
      </c>
      <c r="I28" s="31">
        <f>$B$54+$B$53*B28</f>
        <v/>
      </c>
      <c r="J28" s="31">
        <f>C28-I28</f>
        <v/>
      </c>
      <c r="K28" s="31">
        <f>J28^2</f>
        <v/>
      </c>
      <c r="L28" s="31">
        <f>I28-$B$47</f>
        <v/>
      </c>
      <c r="M28" s="31">
        <f>L28^2</f>
        <v/>
      </c>
      <c r="N28" s="10">
        <f>SQRT($B$59/$C$59)</f>
        <v/>
      </c>
      <c r="O28" s="10">
        <f>J28/N28</f>
        <v/>
      </c>
      <c r="P28" s="10">
        <f>IF(ABS(O28)&gt;2;"investigar";"")</f>
        <v/>
      </c>
    </row>
    <row r="29">
      <c r="A29" s="34" t="inlineStr">
        <is>
          <t>Estadual do Rio de Janeiro</t>
        </is>
      </c>
      <c r="B29" s="50" t="n">
        <v>11000</v>
      </c>
      <c r="C29" s="50" t="n">
        <v>1750</v>
      </c>
      <c r="D29" s="31">
        <f>B29-$B$46</f>
        <v/>
      </c>
      <c r="E29" s="31">
        <f>C29-$B$47</f>
        <v/>
      </c>
      <c r="F29" s="31">
        <f>D29*E29</f>
        <v/>
      </c>
      <c r="G29" s="31">
        <f>D29^2</f>
        <v/>
      </c>
      <c r="H29" s="31">
        <f>E29^2</f>
        <v/>
      </c>
      <c r="I29" s="31">
        <f>$B$54+$B$53*B29</f>
        <v/>
      </c>
      <c r="J29" s="31">
        <f>C29-I29</f>
        <v/>
      </c>
      <c r="K29" s="31">
        <f>J29^2</f>
        <v/>
      </c>
      <c r="L29" s="31">
        <f>I29-$B$47</f>
        <v/>
      </c>
      <c r="M29" s="31">
        <f>L29^2</f>
        <v/>
      </c>
      <c r="N29" s="10">
        <f>SQRT($B$59/$C$59)</f>
        <v/>
      </c>
      <c r="O29" s="10">
        <f>J29/N29</f>
        <v/>
      </c>
      <c r="P29" s="10">
        <f>IF(ABS(O29)&gt;2;"investigar";"")</f>
        <v/>
      </c>
    </row>
    <row r="30">
      <c r="A30" s="34" t="inlineStr">
        <is>
          <t>Federal Fluminense</t>
        </is>
      </c>
      <c r="B30" s="50" t="n">
        <v>24775</v>
      </c>
      <c r="C30" s="50" t="n">
        <v>2415</v>
      </c>
      <c r="D30" s="31">
        <f>B30-$B$46</f>
        <v/>
      </c>
      <c r="E30" s="31">
        <f>C30-$B$47</f>
        <v/>
      </c>
      <c r="F30" s="31">
        <f>D30*E30</f>
        <v/>
      </c>
      <c r="G30" s="31">
        <f>D30^2</f>
        <v/>
      </c>
      <c r="H30" s="31">
        <f>E30^2</f>
        <v/>
      </c>
      <c r="I30" s="31">
        <f>$B$54+$B$53*B30</f>
        <v/>
      </c>
      <c r="J30" s="31">
        <f>C30-I30</f>
        <v/>
      </c>
      <c r="K30" s="31">
        <f>J30^2</f>
        <v/>
      </c>
      <c r="L30" s="31">
        <f>I30-$B$47</f>
        <v/>
      </c>
      <c r="M30" s="31">
        <f>L30^2</f>
        <v/>
      </c>
      <c r="N30" s="10">
        <f>SQRT($B$59/$C$59)</f>
        <v/>
      </c>
      <c r="O30" s="10">
        <f>J30/N30</f>
        <v/>
      </c>
      <c r="P30" s="10">
        <f>IF(ABS(O30)&gt;2;"investigar";"")</f>
        <v/>
      </c>
    </row>
    <row r="31">
      <c r="A31" s="34" t="inlineStr">
        <is>
          <t>Federal do Rio de Janeiro</t>
        </is>
      </c>
      <c r="B31" s="50" t="n">
        <v>30000</v>
      </c>
      <c r="C31" s="50" t="n">
        <v>3580</v>
      </c>
      <c r="D31" s="31">
        <f>B31-$B$46</f>
        <v/>
      </c>
      <c r="E31" s="31">
        <f>C31-$B$47</f>
        <v/>
      </c>
      <c r="F31" s="31">
        <f>D31*E31</f>
        <v/>
      </c>
      <c r="G31" s="31">
        <f>D31^2</f>
        <v/>
      </c>
      <c r="H31" s="31">
        <f>E31^2</f>
        <v/>
      </c>
      <c r="I31" s="31">
        <f>$B$54+$B$53*B31</f>
        <v/>
      </c>
      <c r="J31" s="31">
        <f>C31-I31</f>
        <v/>
      </c>
      <c r="K31" s="31">
        <f>J31^2</f>
        <v/>
      </c>
      <c r="L31" s="31">
        <f>I31-$B$47</f>
        <v/>
      </c>
      <c r="M31" s="31">
        <f>L31^2</f>
        <v/>
      </c>
      <c r="N31" s="10">
        <f>SQRT($B$59/$C$59)</f>
        <v/>
      </c>
      <c r="O31" s="10">
        <f>J31/N31</f>
        <v/>
      </c>
      <c r="P31" s="10">
        <f>IF(ABS(O31)&gt;2;"investigar";"")</f>
        <v/>
      </c>
    </row>
    <row r="32">
      <c r="A32" s="34" t="inlineStr">
        <is>
          <t>Federal Rural do RJ</t>
        </is>
      </c>
      <c r="B32" s="50" t="n">
        <v>3686</v>
      </c>
      <c r="C32" s="50" t="n">
        <v>611</v>
      </c>
      <c r="D32" s="31">
        <f>B32-$B$46</f>
        <v/>
      </c>
      <c r="E32" s="31">
        <f>C32-$B$47</f>
        <v/>
      </c>
      <c r="F32" s="31">
        <f>D32*E32</f>
        <v/>
      </c>
      <c r="G32" s="31">
        <f>D32^2</f>
        <v/>
      </c>
      <c r="H32" s="31">
        <f>E32^2</f>
        <v/>
      </c>
      <c r="I32" s="31">
        <f>$B$54+$B$53*B32</f>
        <v/>
      </c>
      <c r="J32" s="31">
        <f>C32-I32</f>
        <v/>
      </c>
      <c r="K32" s="31">
        <f>J32^2</f>
        <v/>
      </c>
      <c r="L32" s="31">
        <f>I32-$B$47</f>
        <v/>
      </c>
      <c r="M32" s="31">
        <f>L32^2</f>
        <v/>
      </c>
      <c r="N32" s="10">
        <f>SQRT($B$59/$C$59)</f>
        <v/>
      </c>
      <c r="O32" s="10">
        <f>J32/N32</f>
        <v/>
      </c>
      <c r="P32" s="10">
        <f>IF(ABS(O32)&gt;2;"investigar";"")</f>
        <v/>
      </c>
    </row>
    <row r="33">
      <c r="A33" s="34" t="inlineStr">
        <is>
          <t>Gama Filho</t>
        </is>
      </c>
      <c r="B33" s="50" t="n">
        <v>26000</v>
      </c>
      <c r="C33" s="50" t="n">
        <v>1541</v>
      </c>
      <c r="D33" s="31">
        <f>B33-$B$46</f>
        <v/>
      </c>
      <c r="E33" s="31">
        <f>C33-$B$47</f>
        <v/>
      </c>
      <c r="F33" s="31">
        <f>D33*E33</f>
        <v/>
      </c>
      <c r="G33" s="31">
        <f>D33^2</f>
        <v/>
      </c>
      <c r="H33" s="31">
        <f>E33^2</f>
        <v/>
      </c>
      <c r="I33" s="31">
        <f>$B$54+$B$53*B33</f>
        <v/>
      </c>
      <c r="J33" s="31">
        <f>C33-I33</f>
        <v/>
      </c>
      <c r="K33" s="31">
        <f>J33^2</f>
        <v/>
      </c>
      <c r="L33" s="31">
        <f>I33-$B$47</f>
        <v/>
      </c>
      <c r="M33" s="31">
        <f>L33^2</f>
        <v/>
      </c>
      <c r="N33" s="10">
        <f>SQRT($B$59/$C$59)</f>
        <v/>
      </c>
      <c r="O33" s="10">
        <f>J33/N33</f>
        <v/>
      </c>
      <c r="P33" s="10">
        <f>IF(ABS(O33)&gt;2;"investigar";"")</f>
        <v/>
      </c>
    </row>
    <row r="34">
      <c r="A34" s="34" t="inlineStr">
        <is>
          <t>PUC de Campinas</t>
        </is>
      </c>
      <c r="B34" s="50" t="n">
        <v>18132</v>
      </c>
      <c r="C34" s="50" t="n">
        <v>1457</v>
      </c>
      <c r="D34" s="31">
        <f>B34-$B$46</f>
        <v/>
      </c>
      <c r="E34" s="31">
        <f>C34-$B$47</f>
        <v/>
      </c>
      <c r="F34" s="31">
        <f>D34*E34</f>
        <v/>
      </c>
      <c r="G34" s="31">
        <f>D34^2</f>
        <v/>
      </c>
      <c r="H34" s="31">
        <f>E34^2</f>
        <v/>
      </c>
      <c r="I34" s="31">
        <f>$B$54+$B$53*B34</f>
        <v/>
      </c>
      <c r="J34" s="31">
        <f>C34-I34</f>
        <v/>
      </c>
      <c r="K34" s="31">
        <f>J34^2</f>
        <v/>
      </c>
      <c r="L34" s="31">
        <f>I34-$B$47</f>
        <v/>
      </c>
      <c r="M34" s="31">
        <f>L34^2</f>
        <v/>
      </c>
      <c r="N34" s="10">
        <f>SQRT($B$59/$C$59)</f>
        <v/>
      </c>
      <c r="O34" s="10">
        <f>J34/N34</f>
        <v/>
      </c>
      <c r="P34" s="10">
        <f>IF(ABS(O34)&gt;2;"investigar";"")</f>
        <v/>
      </c>
    </row>
    <row r="35">
      <c r="A35" s="34" t="inlineStr">
        <is>
          <t>PUC de Sao Paulo</t>
        </is>
      </c>
      <c r="B35" s="50" t="n">
        <v>15296</v>
      </c>
      <c r="C35" s="50" t="n">
        <v>1526</v>
      </c>
      <c r="D35" s="31">
        <f>B35-$B$46</f>
        <v/>
      </c>
      <c r="E35" s="31">
        <f>C35-$B$47</f>
        <v/>
      </c>
      <c r="F35" s="31">
        <f>D35*E35</f>
        <v/>
      </c>
      <c r="G35" s="31">
        <f>D35^2</f>
        <v/>
      </c>
      <c r="H35" s="31">
        <f>E35^2</f>
        <v/>
      </c>
      <c r="I35" s="31">
        <f>$B$54+$B$53*B35</f>
        <v/>
      </c>
      <c r="J35" s="31">
        <f>C35-I35</f>
        <v/>
      </c>
      <c r="K35" s="31">
        <f>J35^2</f>
        <v/>
      </c>
      <c r="L35" s="31">
        <f>I35-$B$47</f>
        <v/>
      </c>
      <c r="M35" s="31">
        <f>L35^2</f>
        <v/>
      </c>
      <c r="N35" s="10">
        <f>SQRT($B$59/$C$59)</f>
        <v/>
      </c>
      <c r="O35" s="10">
        <f>J35/N35</f>
        <v/>
      </c>
      <c r="P35" s="10">
        <f>IF(ABS(O35)&gt;2;"investigar";"")</f>
        <v/>
      </c>
    </row>
    <row r="36">
      <c r="A36" s="34" t="inlineStr">
        <is>
          <t>Estadual de Campinas</t>
        </is>
      </c>
      <c r="B36" s="50" t="n">
        <v>9843</v>
      </c>
      <c r="C36" s="50" t="n">
        <v>1474</v>
      </c>
      <c r="D36" s="31">
        <f>B36-$B$46</f>
        <v/>
      </c>
      <c r="E36" s="31">
        <f>C36-$B$47</f>
        <v/>
      </c>
      <c r="F36" s="31">
        <f>D36*E36</f>
        <v/>
      </c>
      <c r="G36" s="31">
        <f>D36^2</f>
        <v/>
      </c>
      <c r="H36" s="31">
        <f>E36^2</f>
        <v/>
      </c>
      <c r="I36" s="31">
        <f>$B$54+$B$53*B36</f>
        <v/>
      </c>
      <c r="J36" s="31">
        <f>C36-I36</f>
        <v/>
      </c>
      <c r="K36" s="31">
        <f>J36^2</f>
        <v/>
      </c>
      <c r="L36" s="31">
        <f>I36-$B$47</f>
        <v/>
      </c>
      <c r="M36" s="31">
        <f>L36^2</f>
        <v/>
      </c>
      <c r="N36" s="10">
        <f>SQRT($B$59/$C$59)</f>
        <v/>
      </c>
      <c r="O36" s="10">
        <f>J36/N36</f>
        <v/>
      </c>
      <c r="P36" s="10">
        <f>IF(ABS(O36)&gt;2;"investigar";"")</f>
        <v/>
      </c>
    </row>
    <row r="37">
      <c r="A37" s="34" t="inlineStr">
        <is>
          <t>UNESP Julio Mesquita Filho</t>
        </is>
      </c>
      <c r="B37" s="50" t="n">
        <v>14204</v>
      </c>
      <c r="C37" s="50" t="n">
        <v>2395</v>
      </c>
      <c r="D37" s="31">
        <f>B37-$B$46</f>
        <v/>
      </c>
      <c r="E37" s="31">
        <f>C37-$B$47</f>
        <v/>
      </c>
      <c r="F37" s="31">
        <f>D37*E37</f>
        <v/>
      </c>
      <c r="G37" s="31">
        <f>D37^2</f>
        <v/>
      </c>
      <c r="H37" s="31">
        <f>E37^2</f>
        <v/>
      </c>
      <c r="I37" s="31">
        <f>$B$54+$B$53*B37</f>
        <v/>
      </c>
      <c r="J37" s="31">
        <f>C37-I37</f>
        <v/>
      </c>
      <c r="K37" s="31">
        <f>J37^2</f>
        <v/>
      </c>
      <c r="L37" s="31">
        <f>I37-$B$47</f>
        <v/>
      </c>
      <c r="M37" s="31">
        <f>L37^2</f>
        <v/>
      </c>
      <c r="N37" s="10">
        <f>SQRT($B$59/$C$59)</f>
        <v/>
      </c>
      <c r="O37" s="10">
        <f>J37/N37</f>
        <v/>
      </c>
      <c r="P37" s="10">
        <f>IF(ABS(O37)&gt;2;"investigar";"")</f>
        <v/>
      </c>
    </row>
    <row r="38">
      <c r="A38" s="34" t="inlineStr">
        <is>
          <t>Federal de Sao Carlos</t>
        </is>
      </c>
      <c r="B38" s="50" t="n">
        <v>2566</v>
      </c>
      <c r="C38" s="50" t="n">
        <v>463</v>
      </c>
      <c r="D38" s="31">
        <f>B38-$B$46</f>
        <v/>
      </c>
      <c r="E38" s="31">
        <f>C38-$B$47</f>
        <v/>
      </c>
      <c r="F38" s="31">
        <f>D38*E38</f>
        <v/>
      </c>
      <c r="G38" s="31">
        <f>D38^2</f>
        <v/>
      </c>
      <c r="H38" s="31">
        <f>E38^2</f>
        <v/>
      </c>
      <c r="I38" s="31">
        <f>$B$54+$B$53*B38</f>
        <v/>
      </c>
      <c r="J38" s="31">
        <f>C38-I38</f>
        <v/>
      </c>
      <c r="K38" s="31">
        <f>J38^2</f>
        <v/>
      </c>
      <c r="L38" s="31">
        <f>I38-$B$47</f>
        <v/>
      </c>
      <c r="M38" s="31">
        <f>L38^2</f>
        <v/>
      </c>
      <c r="N38" s="10">
        <f>SQRT($B$59/$C$59)</f>
        <v/>
      </c>
      <c r="O38" s="10">
        <f>J38/N38</f>
        <v/>
      </c>
      <c r="P38" s="10">
        <f>IF(ABS(O38)&gt;2;"investigar";"")</f>
        <v/>
      </c>
    </row>
    <row r="39">
      <c r="A39" s="34" t="inlineStr">
        <is>
          <t>Univ. Mackenzie</t>
        </is>
      </c>
      <c r="B39" s="50" t="n">
        <v>14022</v>
      </c>
      <c r="C39" s="50" t="n">
        <v>121</v>
      </c>
      <c r="D39" s="31">
        <f>B39-$B$46</f>
        <v/>
      </c>
      <c r="E39" s="31">
        <f>C39-$B$47</f>
        <v/>
      </c>
      <c r="F39" s="31">
        <f>D39*E39</f>
        <v/>
      </c>
      <c r="G39" s="31">
        <f>D39^2</f>
        <v/>
      </c>
      <c r="H39" s="31">
        <f>E39^2</f>
        <v/>
      </c>
      <c r="I39" s="31">
        <f>$B$54+$B$53*B39</f>
        <v/>
      </c>
      <c r="J39" s="31">
        <f>C39-I39</f>
        <v/>
      </c>
      <c r="K39" s="31">
        <f>J39^2</f>
        <v/>
      </c>
      <c r="L39" s="31">
        <f>I39-$B$47</f>
        <v/>
      </c>
      <c r="M39" s="31">
        <f>L39^2</f>
        <v/>
      </c>
      <c r="N39" s="10">
        <f>SQRT($B$59/$C$59)</f>
        <v/>
      </c>
      <c r="O39" s="10">
        <f>J39/N39</f>
        <v/>
      </c>
      <c r="P39" s="10">
        <f>IF(ABS(O39)&gt;2;"investigar";"")</f>
        <v/>
      </c>
    </row>
    <row r="40">
      <c r="A40" s="34" t="inlineStr">
        <is>
          <t>Univ. de Mogi das Cruzes</t>
        </is>
      </c>
      <c r="B40" s="50" t="n">
        <v>15088</v>
      </c>
      <c r="C40" s="50" t="n">
        <v>924</v>
      </c>
      <c r="D40" s="31">
        <f>B40-$B$46</f>
        <v/>
      </c>
      <c r="E40" s="31">
        <f>C40-$B$47</f>
        <v/>
      </c>
      <c r="F40" s="31">
        <f>D40*E40</f>
        <v/>
      </c>
      <c r="G40" s="31">
        <f>D40^2</f>
        <v/>
      </c>
      <c r="H40" s="31">
        <f>E40^2</f>
        <v/>
      </c>
      <c r="I40" s="31">
        <f>$B$54+$B$53*B40</f>
        <v/>
      </c>
      <c r="J40" s="31">
        <f>C40-I40</f>
        <v/>
      </c>
      <c r="K40" s="31">
        <f>J40^2</f>
        <v/>
      </c>
      <c r="L40" s="31">
        <f>I40-$B$47</f>
        <v/>
      </c>
      <c r="M40" s="31">
        <f>L40^2</f>
        <v/>
      </c>
      <c r="N40" s="10">
        <f>SQRT($B$59/$C$59)</f>
        <v/>
      </c>
      <c r="O40" s="10">
        <f>J40/N40</f>
        <v/>
      </c>
      <c r="P40" s="10">
        <f>IF(ABS(O40)&gt;2;"investigar";"")</f>
        <v/>
      </c>
    </row>
    <row r="41">
      <c r="A41" s="34" t="inlineStr">
        <is>
          <t>Estadual de Sao Paulo</t>
        </is>
      </c>
      <c r="B41" s="50" t="n">
        <v>44159</v>
      </c>
      <c r="C41" s="50" t="n">
        <v>4461</v>
      </c>
      <c r="D41" s="31">
        <f>B41-$B$46</f>
        <v/>
      </c>
      <c r="E41" s="31">
        <f>C41-$B$47</f>
        <v/>
      </c>
      <c r="F41" s="31">
        <f>D41*E41</f>
        <v/>
      </c>
      <c r="G41" s="31">
        <f>D41^2</f>
        <v/>
      </c>
      <c r="H41" s="31">
        <f>E41^2</f>
        <v/>
      </c>
      <c r="I41" s="31">
        <f>$B$54+$B$53*B41</f>
        <v/>
      </c>
      <c r="J41" s="31">
        <f>C41-I41</f>
        <v/>
      </c>
      <c r="K41" s="31">
        <f>J41^2</f>
        <v/>
      </c>
      <c r="L41" s="31">
        <f>I41-$B$47</f>
        <v/>
      </c>
      <c r="M41" s="31">
        <f>L41^2</f>
        <v/>
      </c>
      <c r="N41" s="10">
        <f>SQRT($B$59/$C$59)</f>
        <v/>
      </c>
      <c r="O41" s="10">
        <f>J41/N41</f>
        <v/>
      </c>
      <c r="P41" s="10">
        <f>IF(ABS(O41)&gt;2;"investigar";"")</f>
        <v/>
      </c>
    </row>
    <row r="42">
      <c r="A42" s="34" t="inlineStr">
        <is>
          <t>Metodista de Piracicaba</t>
        </is>
      </c>
      <c r="B42" s="50" t="n">
        <v>6600</v>
      </c>
      <c r="C42" s="50" t="n">
        <v>500</v>
      </c>
      <c r="D42" s="31">
        <f>B42-$B$46</f>
        <v/>
      </c>
      <c r="E42" s="31">
        <f>C42-$B$47</f>
        <v/>
      </c>
      <c r="F42" s="31">
        <f>D42*E42</f>
        <v/>
      </c>
      <c r="G42" s="31">
        <f>D42^2</f>
        <v/>
      </c>
      <c r="H42" s="31">
        <f>E42^2</f>
        <v/>
      </c>
      <c r="I42" s="31">
        <f>$B$54+$B$53*B42</f>
        <v/>
      </c>
      <c r="J42" s="31">
        <f>C42-I42</f>
        <v/>
      </c>
      <c r="K42" s="31">
        <f>J42^2</f>
        <v/>
      </c>
      <c r="L42" s="31">
        <f>I42-$B$47</f>
        <v/>
      </c>
      <c r="M42" s="31">
        <f>L42^2</f>
        <v/>
      </c>
      <c r="N42" s="10">
        <f>SQRT($B$59/$C$59)</f>
        <v/>
      </c>
      <c r="O42" s="10">
        <f>J42/N42</f>
        <v/>
      </c>
      <c r="P42" s="10">
        <f>IF(ABS(O42)&gt;2;"investigar";"")</f>
        <v/>
      </c>
    </row>
    <row r="43">
      <c r="A43" s="2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A44" s="55" t="inlineStr">
        <is>
          <t>Resumo do calculo manual</t>
        </is>
      </c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34" t="inlineStr">
        <is>
          <t>n</t>
        </is>
      </c>
      <c r="B45" s="31">
        <f>COUNT(B12:B42)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>
      <c r="A46" s="34" t="inlineStr">
        <is>
          <t>media x</t>
        </is>
      </c>
      <c r="B46" s="31">
        <f>SUM(B12:B42)/B45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34" t="inlineStr">
        <is>
          <t>media y</t>
        </is>
      </c>
      <c r="B47" s="31">
        <f>SUM(C12:C42)/B45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>
      <c r="A48" s="34" t="inlineStr">
        <is>
          <t>SOMA dx*dy</t>
        </is>
      </c>
      <c r="B48" s="31">
        <f>SUM(F12:F42)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34" t="inlineStr">
        <is>
          <t>SOMA dx^2</t>
        </is>
      </c>
      <c r="B49" s="31">
        <f>SUM(G12:G42)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>
      <c r="A50" s="34" t="inlineStr">
        <is>
          <t>SQTot = SOMA dy^2</t>
        </is>
      </c>
      <c r="B50" s="31">
        <f>SUM(H12:H42)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34" t="inlineStr">
        <is>
          <t>r manual</t>
        </is>
      </c>
      <c r="B51" s="31">
        <f>B48/SQRT(B49*B50)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A52" s="34" t="inlineStr">
        <is>
          <t>R2 manual = r^2</t>
        </is>
      </c>
      <c r="B52" s="31">
        <f>B51^2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34" t="inlineStr">
        <is>
          <t>b manual</t>
        </is>
      </c>
      <c r="B53" s="31">
        <f>B48/B49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>
      <c r="A54" s="34" t="inlineStr">
        <is>
          <t>a manual</t>
        </is>
      </c>
      <c r="B54" s="31">
        <f>B47-B53*B46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>
      <c r="A55" s="2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</row>
    <row r="56">
      <c r="A56" s="55" t="inlineStr">
        <is>
          <t>ANOVA da regressao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>
      <c r="A57" s="17" t="inlineStr">
        <is>
          <t>Fonte</t>
        </is>
      </c>
      <c r="B57" s="28" t="inlineStr">
        <is>
          <t>SQ</t>
        </is>
      </c>
      <c r="C57" s="28" t="inlineStr">
        <is>
          <t>gl</t>
        </is>
      </c>
      <c r="D57" s="28" t="inlineStr">
        <is>
          <t>QM</t>
        </is>
      </c>
      <c r="E57" s="28" t="inlineStr">
        <is>
          <t>F</t>
        </is>
      </c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</row>
    <row r="58">
      <c r="A58" s="34" t="inlineStr">
        <is>
          <t>Regressao</t>
        </is>
      </c>
      <c r="B58" s="31">
        <f>SUM(M12:M42)</f>
        <v/>
      </c>
      <c r="C58" s="31">
        <f>1</f>
        <v/>
      </c>
      <c r="D58" s="31">
        <f>B58/C58</f>
        <v/>
      </c>
      <c r="E58" s="31">
        <f>D58/D59</f>
        <v/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34" t="inlineStr">
        <is>
          <t>Residuos</t>
        </is>
      </c>
      <c r="B59" s="31">
        <f>SUM(K12:K42)</f>
        <v/>
      </c>
      <c r="C59" s="31">
        <f>B45-2</f>
        <v/>
      </c>
      <c r="D59" s="31">
        <f>B59/C59</f>
        <v/>
      </c>
      <c r="E59" s="29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</row>
    <row r="60">
      <c r="A60" s="34" t="inlineStr">
        <is>
          <t>Total</t>
        </is>
      </c>
      <c r="B60" s="31">
        <f>B58+B59</f>
        <v/>
      </c>
      <c r="C60" s="31">
        <f>B45-1</f>
        <v/>
      </c>
      <c r="D60" s="29" t="n"/>
      <c r="E60" s="29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>
      <c r="A61" s="2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>
      <c r="A62" s="34" t="inlineStr">
        <is>
          <t>Conferencia SQTot - (SQReg + SQRes)</t>
        </is>
      </c>
      <c r="B62" s="51">
        <f>B50-B60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>
      <c r="A63" s="34" t="inlineStr">
        <is>
          <t>R2 pela ANOVA</t>
        </is>
      </c>
      <c r="B63" s="51">
        <f>B58/B60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</row>
    <row r="64">
      <c r="A64" s="24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>
      <c r="A65" s="55" t="inlineStr">
        <is>
          <t>Validacao com LINEST completo do Google Planilhas</t>
        </is>
      </c>
      <c r="I65" s="5" t="n"/>
      <c r="J65" s="5" t="n"/>
      <c r="K65" s="5" t="n"/>
      <c r="L65" s="5" t="n"/>
      <c r="M65" s="5" t="n"/>
      <c r="N65" s="5" t="n"/>
      <c r="O65" s="5" t="n"/>
      <c r="P65" s="5" t="n"/>
    </row>
    <row r="66">
      <c r="A66" s="34" t="inlineStr">
        <is>
          <t>b | a</t>
        </is>
      </c>
      <c r="B66" s="31">
        <f>LINEST(C12:C42;B12:B42;TRUE;TRUE)</f>
        <v/>
      </c>
      <c r="C66" s="31" t="n">
        <v>89.54557237459703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>
      <c r="A67" s="34" t="inlineStr">
        <is>
          <t>erro-padrao de b | erro-padrao de a</t>
        </is>
      </c>
      <c r="B67" s="31" t="n">
        <v>0.01062449655543109</v>
      </c>
      <c r="C67" s="31" t="n">
        <v>171.9431065300531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</row>
    <row r="68">
      <c r="A68" s="34" t="inlineStr">
        <is>
          <t>R2 | erro-padrao da estimativa de y</t>
        </is>
      </c>
      <c r="B68" s="31" t="n">
        <v>0.7004211369732714</v>
      </c>
      <c r="C68" s="31" t="n">
        <v>561.4762882986537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>
      <c r="A69" s="34" t="inlineStr">
        <is>
          <t>F | graus de liberdade</t>
        </is>
      </c>
      <c r="B69" s="31" t="n">
        <v>67.80255711970105</v>
      </c>
      <c r="C69" s="31" t="n">
        <v>29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</row>
    <row r="70">
      <c r="A70" s="34" t="inlineStr">
        <is>
          <t>SQReg | SQRes</t>
        </is>
      </c>
      <c r="B70" s="31" t="n">
        <v>21375137.33976942</v>
      </c>
      <c r="C70" s="31" t="n">
        <v>9142413.047327353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>
      <c r="A71" s="24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>
      <c r="A72" s="44" t="inlineStr">
        <is>
          <t>Interpretacao critica</t>
        </is>
      </c>
    </row>
    <row r="73">
      <c r="A73" s="24" t="inlineStr">
        <is>
          <t>r aproximado 0,837 e R2 aproximado 0,700: associacao linear positiva forte, com cerca de 70,0% da variacao de professores explicada pela regressao.</t>
        </is>
      </c>
    </row>
    <row r="74">
      <c r="A74" s="24" t="inlineStr">
        <is>
          <t>ANOVA: F aproximado 67,803. A variacao explicada pela reta e grande em relacao a variacao residual.</t>
        </is>
      </c>
    </row>
    <row r="75">
      <c r="A75" s="24" t="inlineStr">
        <is>
          <t>Reta: professores = 89,546 + 0,08748*alunos; cada 1000 alunos adicionais estao associados a cerca de 87,5 professores previstos.</t>
        </is>
      </c>
    </row>
    <row r="76">
      <c r="A76" s="24" t="inlineStr">
        <is>
          <t>O intercepto e parametro tecnico; x=0 nao tem interpretacao substantiva forte nesse contexto.</t>
        </is>
      </c>
    </row>
    <row r="77">
      <c r="A77" s="24" t="inlineStr">
        <is>
          <t>Mesmo com R2 alto e F elevado, associacao nao deve ser lida como prova causal.</t>
        </is>
      </c>
    </row>
    <row r="79">
      <c r="A79" s="6" t="inlineStr">
        <is>
          <t>Diagnostico visual: dados para graficos</t>
        </is>
      </c>
    </row>
    <row r="80">
      <c r="A80" s="8" t="inlineStr">
        <is>
          <t>Grafico</t>
        </is>
      </c>
      <c r="B80" s="8" t="inlineStr">
        <is>
          <t>Eixo X</t>
        </is>
      </c>
      <c r="C80" s="8" t="inlineStr">
        <is>
          <t>Eixo Y</t>
        </is>
      </c>
      <c r="D80" s="8" t="inlineStr">
        <is>
          <t>Intervalo X</t>
        </is>
      </c>
      <c r="E80" s="8" t="inlineStr">
        <is>
          <t>Intervalo Y</t>
        </is>
      </c>
      <c r="F80" s="8" t="inlineStr">
        <is>
          <t>Objetivo diagnostico</t>
        </is>
      </c>
      <c r="G80" s="8" t="inlineStr">
        <is>
          <t>Conclusao diagnostica</t>
        </is>
      </c>
      <c r="N80" s="8" t="n"/>
    </row>
    <row r="81">
      <c r="A81" s="34" t="inlineStr">
        <is>
          <t>Dispersao</t>
        </is>
      </c>
      <c r="B81" s="10" t="inlineStr">
        <is>
          <t>x = alunos</t>
        </is>
      </c>
      <c r="C81" s="10" t="inlineStr">
        <is>
          <t>y = professores</t>
        </is>
      </c>
      <c r="D81" s="10" t="inlineStr">
        <is>
          <t>B12:B42</t>
        </is>
      </c>
      <c r="E81" s="10" t="inlineStr">
        <is>
          <t>C12:C42</t>
        </is>
      </c>
      <c r="F81" s="10" t="inlineStr">
        <is>
          <t>Ver se instituições com mais alunos tendem a ter mais professores e se a relação parece aproximadamente linear.</t>
        </is>
      </c>
      <c r="G81" s="10" t="inlineStr">
        <is>
          <t>A relação entre alunos e professores é positiva e aproximadamente linear, embora haja instituições afastadas da tendência geral.</t>
        </is>
      </c>
      <c r="N81" s="10" t="n"/>
    </row>
    <row r="82">
      <c r="A82" s="34" t="inlineStr">
        <is>
          <t>Reta ajustada</t>
        </is>
      </c>
      <c r="B82" s="10" t="inlineStr">
        <is>
          <t>x = alunos</t>
        </is>
      </c>
      <c r="C82" s="10" t="inlineStr">
        <is>
          <t>y_chapeu</t>
        </is>
      </c>
      <c r="D82" s="10" t="inlineStr">
        <is>
          <t>B12:B42</t>
        </is>
      </c>
      <c r="E82" s="10" t="inlineStr">
        <is>
          <t>I12:I42</t>
        </is>
      </c>
      <c r="F82" s="10" t="inlineStr">
        <is>
          <t>Ver se a reta representa bem a tendência geral ou se algumas instituições influenciam demais o ajuste.</t>
        </is>
      </c>
      <c r="G82" s="10" t="inlineStr">
        <is>
          <t>A reta representa uma tendência geral forte, mas algumas instituições ficam bem acima ou abaixo do esperado.</t>
        </is>
      </c>
      <c r="N82" s="10" t="n"/>
    </row>
    <row r="83">
      <c r="A83" s="34" t="inlineStr">
        <is>
          <t>Residuos vs previsto</t>
        </is>
      </c>
      <c r="B83" s="10" t="inlineStr">
        <is>
          <t>y_chapeu</t>
        </is>
      </c>
      <c r="C83" s="10" t="inlineStr">
        <is>
          <t>residuo</t>
        </is>
      </c>
      <c r="D83" s="10" t="inlineStr">
        <is>
          <t>I12:I42</t>
        </is>
      </c>
      <c r="E83" s="10" t="inlineStr">
        <is>
          <t>J12:J42</t>
        </is>
      </c>
      <c r="F83" s="10" t="inlineStr">
        <is>
          <t>Ver se os erros ficam espalhados ao redor de zero; padrão, curva ou funil indicam limitação do modelo.</t>
        </is>
      </c>
      <c r="G83" s="10" t="inlineStr">
        <is>
          <t>Os resíduos indicam que Univ. do Vale do Rio dos Sinos e Univ. Mackenzie têm menos professores que o previsto para seu porte.</t>
        </is>
      </c>
      <c r="N83" s="10" t="n"/>
    </row>
    <row r="84">
      <c r="A84" s="34" t="inlineStr">
        <is>
          <t>Residuos vs alunos</t>
        </is>
      </c>
      <c r="B84" s="10" t="inlineStr">
        <is>
          <t>x = alunos</t>
        </is>
      </c>
      <c r="C84" s="10" t="inlineStr">
        <is>
          <t>residuo</t>
        </is>
      </c>
      <c r="D84" s="10" t="inlineStr">
        <is>
          <t>B12:B42</t>
        </is>
      </c>
      <c r="E84" s="10" t="inlineStr">
        <is>
          <t>J12:J42</t>
        </is>
      </c>
      <c r="F84" s="10" t="inlineStr">
        <is>
          <t>Ver se o erro muda conforme o número de alunos aumenta; isso ajuda a detectar viés por porte da instituição.</t>
        </is>
      </c>
      <c r="G84" s="10" t="inlineStr">
        <is>
          <t>Há indícios de erros relevantes em instituições de maior porte; isso sugere verificar possível viés por porte ou diferenças institucionais.</t>
        </is>
      </c>
      <c r="N84" s="10" t="n"/>
    </row>
    <row r="85">
      <c r="A85" s="34" t="inlineStr">
        <is>
          <t>Residuos padronizados</t>
        </is>
      </c>
      <c r="B85" s="10" t="inlineStr">
        <is>
          <t>x = alunos</t>
        </is>
      </c>
      <c r="C85" s="10" t="inlineStr">
        <is>
          <t>z_residuo</t>
        </is>
      </c>
      <c r="D85" s="10" t="inlineStr">
        <is>
          <t>B12:B42</t>
        </is>
      </c>
      <c r="E85" s="10" t="inlineStr">
        <is>
          <t>O12:O42</t>
        </is>
      </c>
      <c r="F85" s="10" t="inlineStr">
        <is>
          <t>Identificar instituições com erro de previsão grande em escala comum; valores com |z| &gt; 2 merecem investigação.</t>
        </is>
      </c>
      <c r="G85" s="10" t="inlineStr">
        <is>
          <t>Univ. do Vale do Rio dos Sinos e Univ. Mackenzie têm |z| &gt; 2 e devem ser investigadas como possíveis casos atípicos, sem exclusão automática.</t>
        </is>
      </c>
      <c r="N85" s="10" t="n"/>
    </row>
  </sheetData>
  <mergeCells count="18">
    <mergeCell ref="A75:P75"/>
    <mergeCell ref="A76:P76"/>
    <mergeCell ref="A1:M1"/>
    <mergeCell ref="A5:M5"/>
    <mergeCell ref="A65:H65"/>
    <mergeCell ref="A8:M8"/>
    <mergeCell ref="A44:F44"/>
    <mergeCell ref="A6:M6"/>
    <mergeCell ref="A79:F79"/>
    <mergeCell ref="A4:M4"/>
    <mergeCell ref="A77:P77"/>
    <mergeCell ref="A74:P74"/>
    <mergeCell ref="A10:M10"/>
    <mergeCell ref="A56:F56"/>
    <mergeCell ref="A7:M7"/>
    <mergeCell ref="A72:P72"/>
    <mergeCell ref="A2:M2"/>
    <mergeCell ref="A73:P73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2026-05-09T17:37:27Z</dcterms:created>
  <dcterms:modified xmlns:dcterms="http://purl.org/dc/terms/" xmlns:xsi="http://www.w3.org/2001/XMLSchema-instance" xsi:type="dcterms:W3CDTF">2026-05-09T17:41:15Z</dcterms:modified>
</cp:coreProperties>
</file>