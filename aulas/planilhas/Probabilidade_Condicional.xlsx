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itos" sheetId="1" r:id="rId5"/>
    <sheet state="visible" name="Ex1" sheetId="2" r:id="rId6"/>
    <sheet state="visible" name="Ex2" sheetId="3" r:id="rId7"/>
  </sheets>
  <definedNames/>
  <calcPr/>
</workbook>
</file>

<file path=xl/sharedStrings.xml><?xml version="1.0" encoding="utf-8"?>
<sst xmlns="http://schemas.openxmlformats.org/spreadsheetml/2006/main" count="144" uniqueCount="135">
  <si>
    <t>Revisão conceitual: probabilidade condicional, probabilidade total e Bayes</t>
  </si>
  <si>
    <t>Conceitos centrais</t>
  </si>
  <si>
    <t>Conceito</t>
  </si>
  <si>
    <t>Fórmula / estrutura</t>
  </si>
  <si>
    <t>Leitura didática</t>
  </si>
  <si>
    <t>Alerta de correção</t>
  </si>
  <si>
    <t>Espaço amostral</t>
  </si>
  <si>
    <t>Omega = conjunto de resultados possíveis</t>
  </si>
  <si>
    <t>Define o universo antes de qualquer cálculo.</t>
  </si>
  <si>
    <t>Sem universo claro, a fração usada na probabilidade fica arbitrária.</t>
  </si>
  <si>
    <t>Evento</t>
  </si>
  <si>
    <t>A é subconjunto de Omega</t>
  </si>
  <si>
    <t>Representa a condição de interesse.</t>
  </si>
  <si>
    <t>Nomear eventos evita confundir texto do problema com cálculo.</t>
  </si>
  <si>
    <t>Probabilidade clássica</t>
  </si>
  <si>
    <t>P(A) = n(A) / n(Omega)</t>
  </si>
  <si>
    <t>Usada quando os resultados são finitos e equiprováveis.</t>
  </si>
  <si>
    <t>Não usar se os casos não tiverem a mesma chance.</t>
  </si>
  <si>
    <t>Complemento</t>
  </si>
  <si>
    <t>P(A^c) = 1 - P(A)</t>
  </si>
  <si>
    <t>Calcula a não ocorrência de A.</t>
  </si>
  <si>
    <t>Útil para pelo menos um: 1 - P(nenhum).</t>
  </si>
  <si>
    <t>União</t>
  </si>
  <si>
    <t>P(A ou B) = P(A) + P(B) - P(A e B)</t>
  </si>
  <si>
    <t>Evento A, B ou ambos.</t>
  </si>
  <si>
    <t>Subtrair a interseção quando houver sobreposição.</t>
  </si>
  <si>
    <t>Mutuamente exclusivos</t>
  </si>
  <si>
    <t>P(A e B) = 0</t>
  </si>
  <si>
    <t>Eventos que não podem ocorrer juntos.</t>
  </si>
  <si>
    <t>Não confundir com independência.</t>
  </si>
  <si>
    <t>Probabilidade condicional</t>
  </si>
  <si>
    <t>P(B | A) = P(A e B) / P(A)</t>
  </si>
  <si>
    <t>Probabilidade de B dentro do universo em que A ocorreu.</t>
  </si>
  <si>
    <t>O denominador é o evento depois da barra vertical.</t>
  </si>
  <si>
    <t>Regra do produto</t>
  </si>
  <si>
    <t>P(A e B) = P(A)P(B | A)</t>
  </si>
  <si>
    <t>Multiplica-se ao longo dos ramos de uma árvore.</t>
  </si>
  <si>
    <t>A segunda probabilidade deve estar condicionada ao primeiro ramo.</t>
  </si>
  <si>
    <t>Independência</t>
  </si>
  <si>
    <t>P(A e B) = P(A)P(B)</t>
  </si>
  <si>
    <t>A ocorrência de um evento não altera a chance do outro.</t>
  </si>
  <si>
    <t>Só assumir quando o enunciado justificar.</t>
  </si>
  <si>
    <t>Probabilidade total</t>
  </si>
  <si>
    <t>P(B) = soma P(A_i)P(B | A_i)</t>
  </si>
  <si>
    <t>Soma os caminhos pelos quais B pode ocorrer.</t>
  </si>
  <si>
    <t>Os grupos A_i devem formar uma partição.</t>
  </si>
  <si>
    <t>Bayes</t>
  </si>
  <si>
    <t>P(A_i | B) = P(A_i e B) / P(B)</t>
  </si>
  <si>
    <t>Inverte a condição após observar B.</t>
  </si>
  <si>
    <t>Não confundir P(B | A_i) com P(A_i | B).</t>
  </si>
  <si>
    <t>Estratégia com tabela conjunta</t>
  </si>
  <si>
    <t>Coluna</t>
  </si>
  <si>
    <t>Conteúdo</t>
  </si>
  <si>
    <t>Fórmula típica</t>
  </si>
  <si>
    <t>Uso na interpretação</t>
  </si>
  <si>
    <t>A</t>
  </si>
  <si>
    <t>Grupo ou caminho</t>
  </si>
  <si>
    <t>preenchimento manual</t>
  </si>
  <si>
    <t>Ex.: clínica, empresarial, A, B, C, D.</t>
  </si>
  <si>
    <t>B</t>
  </si>
  <si>
    <t>P(grupo)</t>
  </si>
  <si>
    <t>Probabilidade inicial ou peso do grupo.</t>
  </si>
  <si>
    <t>C</t>
  </si>
  <si>
    <t>P(evento | grupo)</t>
  </si>
  <si>
    <t>Probabilidade condicional dada no enunciado.</t>
  </si>
  <si>
    <t>D</t>
  </si>
  <si>
    <t>P(não evento | grupo)</t>
  </si>
  <si>
    <t>=1-C2</t>
  </si>
  <si>
    <t>Complemento dentro do grupo.</t>
  </si>
  <si>
    <t>E</t>
  </si>
  <si>
    <t>P(grupo e evento)</t>
  </si>
  <si>
    <t>=B2*C2</t>
  </si>
  <si>
    <t>Probabilidade conjunta do ramo de interesse.</t>
  </si>
  <si>
    <t>F</t>
  </si>
  <si>
    <t>P(grupo e não evento)</t>
  </si>
  <si>
    <t>=B2*D2</t>
  </si>
  <si>
    <t>Probabilidade conjunta do ramo complementar.</t>
  </si>
  <si>
    <t>G</t>
  </si>
  <si>
    <t>P(grupo | evento)</t>
  </si>
  <si>
    <t>=E2/SUM(E:E)</t>
  </si>
  <si>
    <t>Bayes: composição dos casos em que o evento ocorreu.</t>
  </si>
  <si>
    <t>H</t>
  </si>
  <si>
    <t>P(grupo | não evento)</t>
  </si>
  <si>
    <t>=F2/SUM(F:F)</t>
  </si>
  <si>
    <t>Bayes usando o evento complementar.</t>
  </si>
  <si>
    <t>Erros comuns</t>
  </si>
  <si>
    <t>Erro</t>
  </si>
  <si>
    <t>Correção conceitual</t>
  </si>
  <si>
    <t>Confundir P(A | B) com P(B | A).</t>
  </si>
  <si>
    <t>Verifique qual evento aparece depois da barra vertical; ele define o denominador.</t>
  </si>
  <si>
    <t>Somar percentuais condicionais de grupos diferentes.</t>
  </si>
  <si>
    <t>Pondere cada percentual pelo tamanho do grupo antes de somar.</t>
  </si>
  <si>
    <t>Assumir independência automaticamente.</t>
  </si>
  <si>
    <t>Independência precisa vir do enunciado ou de justificativa substantiva.</t>
  </si>
  <si>
    <t>Usar 100% como denominador em toda condicional.</t>
  </si>
  <si>
    <t>Em P(A | B), o universo é B, não a população inteira.</t>
  </si>
  <si>
    <t>Tratar mutuamente exclusivos como independentes.</t>
  </si>
  <si>
    <t>Eventos mutuamente exclusivos com probabilidades positivas não são independentes.</t>
  </si>
  <si>
    <t>Checklist de resolução</t>
  </si>
  <si>
    <t>Identifique o evento pedido e se existe condição dada.</t>
  </si>
  <si>
    <t>Defina o universo de referência antes de calcular.</t>
  </si>
  <si>
    <t>Monte tabela ou árvore quando houver grupos ou etapas.</t>
  </si>
  <si>
    <t>Use complemento quando o evento pedido for "pelo menos um" ou "não ocorre".</t>
  </si>
  <si>
    <t>Multiplique ao longo dos ramos e some caminhos alternativos.</t>
  </si>
  <si>
    <t>Na condicional final, confirme se o denominador é o evento observado.</t>
  </si>
  <si>
    <t>Ex. 1 - Informatização entre psicólogos</t>
  </si>
  <si>
    <t>Enunciado resumido</t>
  </si>
  <si>
    <t>Calcule o percentual geral de psicólogos que não usam computador e, entre os não informatizados, o percentual que atua em clínica.</t>
  </si>
  <si>
    <t>Área de atuação</t>
  </si>
  <si>
    <t>P(área)</t>
  </si>
  <si>
    <t>P(usa | área)</t>
  </si>
  <si>
    <t>P(não usa | área)</t>
  </si>
  <si>
    <t>P(área e usa)</t>
  </si>
  <si>
    <t>P(área e não usa)</t>
  </si>
  <si>
    <t>P(área | não usa)</t>
  </si>
  <si>
    <t>Clínica</t>
  </si>
  <si>
    <t>Empresarial</t>
  </si>
  <si>
    <t>Outras áreas</t>
  </si>
  <si>
    <t>Total</t>
  </si>
  <si>
    <t>Resultados</t>
  </si>
  <si>
    <t>Percentual geral de não informatizados</t>
  </si>
  <si>
    <t>Percentual de clínicos entre os não informatizados</t>
  </si>
  <si>
    <t>Ex2 - Perdido em uma encruzilhada</t>
  </si>
  <si>
    <t>Inácio escolhe ao acaso um dos quatro camponeses. Calcule P(caminho certo) e, dado caminho errado, a probabilidade de a informação ter vindo de B, C ou D.</t>
  </si>
  <si>
    <t>Camponês</t>
  </si>
  <si>
    <t>P(escolhido)</t>
  </si>
  <si>
    <t>P(certo | camponês)</t>
  </si>
  <si>
    <t>P(errado | camponês)</t>
  </si>
  <si>
    <t>P(camponês e certo)</t>
  </si>
  <si>
    <t>P(camponês e errado)</t>
  </si>
  <si>
    <t>P(camponês | errado)</t>
  </si>
  <si>
    <t>Probabilidade de caminho certo</t>
  </si>
  <si>
    <t>P(B | caminho errado)</t>
  </si>
  <si>
    <t>P(C | caminho errado)</t>
  </si>
  <si>
    <t>P(D | caminho errado)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</si>
</sst>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rgb="FF000000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0" fontId="2" numFmtId="0" xfId="0" applyBorder="1" applyFont="1"/>
    <xf borderId="1" fillId="0" fontId="3" numFmtId="164" xfId="0" applyBorder="1" applyFont="1" applyNumberFormat="1"/>
    <xf borderId="2" fillId="0" fontId="2" numFmtId="0" xfId="0" applyBorder="1" applyFont="1"/>
    <xf borderId="3" fillId="0" fontId="4" numFmtId="0" xfId="0" applyBorder="1" applyFont="1"/>
    <xf borderId="1" fillId="0" fontId="5" numFmtId="0" xfId="0" applyBorder="1" applyFont="1"/>
    <xf borderId="0" fillId="0" fontId="6" numFmtId="164" xfId="0" applyFont="1" applyNumberFormat="1"/>
    <xf borderId="0" fillId="0" fontId="2" numFmtId="0" xfId="0" applyFont="1"/>
    <xf borderId="0" fillId="0" fontId="6" numFmtId="0" xfId="0" applyAlignment="1" applyFont="1">
      <alignment shrinkToFit="0" vertical="top" wrapText="1"/>
    </xf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1" fillId="0" fontId="6" numFmtId="164" xfId="0" applyBorder="1" applyFont="1" applyNumberFormat="1"/>
    <xf borderId="1" fillId="0" fontId="2" numFmtId="164" xfId="0" applyBorder="1" applyFont="1" applyNumberFormat="1"/>
    <xf borderId="0" fillId="0" fontId="3" numFmtId="164" xfId="0" applyFont="1" applyNumberFormat="1"/>
    <xf borderId="1" fillId="0" fontId="6" numFmtId="10" xfId="0" applyBorder="1" applyFont="1" applyNumberFormat="1"/>
    <xf borderId="1" fillId="0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14"/>
    <col customWidth="1" min="2" max="2" width="38.0"/>
    <col customWidth="1" min="3" max="3" width="52.0"/>
    <col customWidth="1" min="4" max="4" width="58.0"/>
    <col customWidth="1" min="5" max="6" width="14.43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4" t="s">
        <v>10</v>
      </c>
      <c r="B6" s="4" t="s">
        <v>11</v>
      </c>
      <c r="C6" s="4" t="s">
        <v>12</v>
      </c>
      <c r="D6" s="4" t="s">
        <v>13</v>
      </c>
    </row>
    <row r="7">
      <c r="A7" s="4" t="s">
        <v>14</v>
      </c>
      <c r="B7" s="4" t="s">
        <v>15</v>
      </c>
      <c r="C7" s="4" t="s">
        <v>16</v>
      </c>
      <c r="D7" s="4" t="s">
        <v>17</v>
      </c>
    </row>
    <row r="8">
      <c r="A8" s="4" t="s">
        <v>18</v>
      </c>
      <c r="B8" s="4" t="s">
        <v>19</v>
      </c>
      <c r="C8" s="4" t="s">
        <v>20</v>
      </c>
      <c r="D8" s="4" t="s">
        <v>21</v>
      </c>
    </row>
    <row r="9">
      <c r="A9" s="4" t="s">
        <v>22</v>
      </c>
      <c r="B9" s="4" t="s">
        <v>23</v>
      </c>
      <c r="C9" s="4" t="s">
        <v>24</v>
      </c>
      <c r="D9" s="4" t="s">
        <v>25</v>
      </c>
    </row>
    <row r="10">
      <c r="A10" s="4" t="s">
        <v>26</v>
      </c>
      <c r="B10" s="4" t="s">
        <v>27</v>
      </c>
      <c r="C10" s="4" t="s">
        <v>28</v>
      </c>
      <c r="D10" s="4" t="s">
        <v>29</v>
      </c>
    </row>
    <row r="11">
      <c r="A11" s="4" t="s">
        <v>30</v>
      </c>
      <c r="B11" s="4" t="s">
        <v>31</v>
      </c>
      <c r="C11" s="4" t="s">
        <v>32</v>
      </c>
      <c r="D11" s="4" t="s">
        <v>33</v>
      </c>
    </row>
    <row r="12">
      <c r="A12" s="4" t="s">
        <v>34</v>
      </c>
      <c r="B12" s="4" t="s">
        <v>35</v>
      </c>
      <c r="C12" s="4" t="s">
        <v>36</v>
      </c>
      <c r="D12" s="4" t="s">
        <v>37</v>
      </c>
    </row>
    <row r="13">
      <c r="A13" s="4" t="s">
        <v>38</v>
      </c>
      <c r="B13" s="4" t="s">
        <v>39</v>
      </c>
      <c r="C13" s="4" t="s">
        <v>40</v>
      </c>
      <c r="D13" s="4" t="s">
        <v>41</v>
      </c>
    </row>
    <row r="14">
      <c r="A14" s="4" t="s">
        <v>42</v>
      </c>
      <c r="B14" s="4" t="s">
        <v>43</v>
      </c>
      <c r="C14" s="4" t="s">
        <v>44</v>
      </c>
      <c r="D14" s="4" t="s">
        <v>45</v>
      </c>
    </row>
    <row r="15">
      <c r="A15" s="4" t="s">
        <v>46</v>
      </c>
      <c r="B15" s="4" t="s">
        <v>47</v>
      </c>
      <c r="C15" s="4" t="s">
        <v>48</v>
      </c>
      <c r="D15" s="4" t="s">
        <v>49</v>
      </c>
    </row>
    <row r="17">
      <c r="A17" s="2" t="s">
        <v>50</v>
      </c>
    </row>
    <row r="18">
      <c r="A18" s="3" t="s">
        <v>51</v>
      </c>
      <c r="B18" s="3" t="s">
        <v>52</v>
      </c>
      <c r="C18" s="3" t="s">
        <v>53</v>
      </c>
      <c r="D18" s="3" t="s">
        <v>54</v>
      </c>
    </row>
    <row r="19">
      <c r="A19" s="4" t="s">
        <v>55</v>
      </c>
      <c r="B19" s="4" t="s">
        <v>56</v>
      </c>
      <c r="C19" s="4" t="s">
        <v>57</v>
      </c>
      <c r="D19" s="4" t="s">
        <v>58</v>
      </c>
    </row>
    <row r="20">
      <c r="A20" s="4" t="s">
        <v>59</v>
      </c>
      <c r="B20" s="4" t="s">
        <v>60</v>
      </c>
      <c r="C20" s="4" t="s">
        <v>57</v>
      </c>
      <c r="D20" s="4" t="s">
        <v>61</v>
      </c>
    </row>
    <row r="21">
      <c r="A21" s="4" t="s">
        <v>62</v>
      </c>
      <c r="B21" s="4" t="s">
        <v>63</v>
      </c>
      <c r="C21" s="4" t="s">
        <v>57</v>
      </c>
      <c r="D21" s="4" t="s">
        <v>64</v>
      </c>
    </row>
    <row r="22">
      <c r="A22" s="4" t="s">
        <v>65</v>
      </c>
      <c r="B22" s="4" t="s">
        <v>66</v>
      </c>
      <c r="C22" s="4" t="s">
        <v>67</v>
      </c>
      <c r="D22" s="4" t="s">
        <v>68</v>
      </c>
    </row>
    <row r="23">
      <c r="A23" s="4" t="s">
        <v>69</v>
      </c>
      <c r="B23" s="4" t="s">
        <v>70</v>
      </c>
      <c r="C23" s="4" t="s">
        <v>71</v>
      </c>
      <c r="D23" s="4" t="s">
        <v>72</v>
      </c>
    </row>
    <row r="24">
      <c r="A24" s="4" t="s">
        <v>73</v>
      </c>
      <c r="B24" s="4" t="s">
        <v>74</v>
      </c>
      <c r="C24" s="4" t="s">
        <v>75</v>
      </c>
      <c r="D24" s="4" t="s">
        <v>76</v>
      </c>
    </row>
    <row r="25">
      <c r="A25" s="4" t="s">
        <v>77</v>
      </c>
      <c r="B25" s="4" t="s">
        <v>78</v>
      </c>
      <c r="C25" s="4" t="s">
        <v>79</v>
      </c>
      <c r="D25" s="4" t="s">
        <v>80</v>
      </c>
    </row>
    <row r="26">
      <c r="A26" s="4" t="s">
        <v>81</v>
      </c>
      <c r="B26" s="4" t="s">
        <v>82</v>
      </c>
      <c r="C26" s="4" t="s">
        <v>83</v>
      </c>
      <c r="D26" s="4" t="s">
        <v>84</v>
      </c>
    </row>
    <row r="28">
      <c r="A28" s="2" t="s">
        <v>85</v>
      </c>
    </row>
    <row r="29">
      <c r="A29" s="3" t="s">
        <v>86</v>
      </c>
      <c r="B29" s="5" t="s">
        <v>87</v>
      </c>
      <c r="C29" s="6"/>
    </row>
    <row r="30">
      <c r="A30" s="4" t="s">
        <v>88</v>
      </c>
      <c r="B30" s="4" t="s">
        <v>89</v>
      </c>
      <c r="C30" s="7"/>
    </row>
    <row r="31">
      <c r="A31" s="4" t="s">
        <v>90</v>
      </c>
      <c r="B31" s="4" t="s">
        <v>91</v>
      </c>
      <c r="C31" s="7"/>
    </row>
    <row r="32">
      <c r="A32" s="4" t="s">
        <v>92</v>
      </c>
      <c r="B32" s="4" t="s">
        <v>93</v>
      </c>
      <c r="C32" s="7"/>
    </row>
    <row r="33">
      <c r="A33" s="4" t="s">
        <v>94</v>
      </c>
      <c r="B33" s="4" t="s">
        <v>95</v>
      </c>
      <c r="C33" s="7"/>
    </row>
    <row r="34">
      <c r="A34" s="4" t="s">
        <v>96</v>
      </c>
      <c r="B34" s="4" t="s">
        <v>97</v>
      </c>
      <c r="C34" s="7"/>
    </row>
    <row r="36">
      <c r="A36" s="2" t="s">
        <v>98</v>
      </c>
    </row>
    <row r="37">
      <c r="A37" s="8" t="s">
        <v>99</v>
      </c>
    </row>
    <row r="38">
      <c r="A38" s="8" t="s">
        <v>100</v>
      </c>
    </row>
    <row r="39">
      <c r="A39" s="8" t="s">
        <v>101</v>
      </c>
    </row>
    <row r="40">
      <c r="A40" s="8" t="s">
        <v>102</v>
      </c>
    </row>
    <row r="41">
      <c r="A41" s="8" t="s">
        <v>103</v>
      </c>
    </row>
    <row r="42">
      <c r="A42" s="8" t="s">
        <v>104</v>
      </c>
    </row>
  </sheetData>
  <mergeCells count="12">
    <mergeCell ref="A38:D38"/>
    <mergeCell ref="A39:D39"/>
    <mergeCell ref="A40:D40"/>
    <mergeCell ref="A41:D41"/>
    <mergeCell ref="A42:D42"/>
    <mergeCell ref="A1:D1"/>
    <mergeCell ref="A3:D3"/>
    <mergeCell ref="A17:D17"/>
    <mergeCell ref="A28:D28"/>
    <mergeCell ref="B29:C29"/>
    <mergeCell ref="A36:D36"/>
    <mergeCell ref="A37:D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customHeight="1" defaultColWidth="14.43" defaultRowHeight="15.0"/>
  <cols>
    <col customWidth="1" min="1" max="1" width="49.57"/>
    <col customWidth="1" min="2" max="2" width="14.0"/>
    <col customWidth="1" min="3" max="3" width="16.0"/>
    <col customWidth="1" min="4" max="5" width="18.0"/>
    <col customWidth="1" min="6" max="7" width="20.0"/>
  </cols>
  <sheetData>
    <row r="1">
      <c r="A1" s="1" t="s">
        <v>105</v>
      </c>
    </row>
    <row r="2">
      <c r="A2" s="4" t="inlineStr">
        <is>
          <t>Conceitos abordados: complemento; regra do produto; probabilidade total; probabilidade condicional; Teorema de Bayes; tabela de probabilidades conjuntas.</t>
        </is>
      </c>
    </row>
    <row r="3">
      <c r="A3" s="9" t="s">
        <v>106</v>
      </c>
    </row>
    <row r="4">
      <c r="A4" s="10" t="s">
        <v>107</v>
      </c>
    </row>
    <row r="6">
      <c r="A6" s="11" t="s">
        <v>108</v>
      </c>
      <c r="B6" s="11" t="s">
        <v>109</v>
      </c>
      <c r="C6" s="11" t="s">
        <v>110</v>
      </c>
      <c r="D6" s="11" t="s">
        <v>111</v>
      </c>
      <c r="E6" s="11" t="s">
        <v>112</v>
      </c>
      <c r="F6" s="11" t="s">
        <v>113</v>
      </c>
      <c r="G6" s="11" t="s">
        <v>114</v>
      </c>
    </row>
    <row r="7">
      <c r="A7" s="12" t="s">
        <v>115</v>
      </c>
      <c r="B7" s="13">
        <v>0.6</v>
      </c>
      <c r="C7" s="13">
        <v>0.1</v>
      </c>
      <c r="D7" s="13">
        <f t="shared" ref="D7:D9" si="1">1-C7</f>
        <v>0.9</v>
      </c>
      <c r="E7" s="13">
        <f t="shared" ref="E7:E9" si="2">B7*C7</f>
        <v>0.06</v>
      </c>
      <c r="F7" s="13">
        <f t="shared" ref="F7:F9" si="3">B7*D7</f>
        <v>0.54</v>
      </c>
      <c r="G7" s="13">
        <f t="shared" ref="G7:G9" si="4">F7/SUM($F$7:$F$9)</f>
        <v>0.75</v>
      </c>
    </row>
    <row r="8">
      <c r="A8" s="12" t="s">
        <v>116</v>
      </c>
      <c r="B8" s="13">
        <v>0.2</v>
      </c>
      <c r="C8" s="13">
        <v>0.7</v>
      </c>
      <c r="D8" s="13">
        <f t="shared" si="1"/>
        <v>0.3</v>
      </c>
      <c r="E8" s="13">
        <f t="shared" si="2"/>
        <v>0.14</v>
      </c>
      <c r="F8" s="13">
        <f t="shared" si="3"/>
        <v>0.06</v>
      </c>
      <c r="G8" s="13">
        <f t="shared" si="4"/>
        <v>0.08333333333</v>
      </c>
    </row>
    <row r="9">
      <c r="A9" s="12" t="s">
        <v>117</v>
      </c>
      <c r="B9" s="13">
        <v>0.2</v>
      </c>
      <c r="C9" s="13">
        <v>0.4</v>
      </c>
      <c r="D9" s="13">
        <f t="shared" si="1"/>
        <v>0.6</v>
      </c>
      <c r="E9" s="13">
        <f t="shared" si="2"/>
        <v>0.08</v>
      </c>
      <c r="F9" s="13">
        <f t="shared" si="3"/>
        <v>0.12</v>
      </c>
      <c r="G9" s="13">
        <f t="shared" si="4"/>
        <v>0.1666666667</v>
      </c>
    </row>
    <row r="10">
      <c r="A10" s="3" t="s">
        <v>118</v>
      </c>
      <c r="B10" s="14">
        <f>SUM(B7:B9)</f>
        <v>1</v>
      </c>
      <c r="C10" s="4"/>
      <c r="D10" s="4"/>
      <c r="E10" s="14">
        <f t="shared" ref="E10:F10" si="5">SUM(E7:E9)</f>
        <v>0.28</v>
      </c>
      <c r="F10" s="14">
        <f t="shared" si="5"/>
        <v>0.72</v>
      </c>
      <c r="G10" s="4"/>
    </row>
    <row r="11">
      <c r="B11" s="15"/>
      <c r="C11" s="15"/>
      <c r="D11" s="15"/>
      <c r="E11" s="15"/>
      <c r="F11" s="15"/>
      <c r="G11" s="15"/>
    </row>
    <row r="12">
      <c r="A12" s="9" t="s">
        <v>119</v>
      </c>
      <c r="B12" s="15"/>
      <c r="C12" s="15"/>
      <c r="D12" s="15"/>
      <c r="E12" s="15"/>
      <c r="F12" s="15"/>
      <c r="G12" s="15"/>
    </row>
    <row r="13">
      <c r="A13" s="12" t="s">
        <v>120</v>
      </c>
      <c r="B13" s="14">
        <f>F10</f>
        <v>0.72</v>
      </c>
      <c r="C13" s="15"/>
      <c r="D13" s="15"/>
      <c r="E13" s="15"/>
      <c r="F13" s="15"/>
      <c r="G13" s="15"/>
    </row>
    <row r="14">
      <c r="A14" s="12" t="s">
        <v>121</v>
      </c>
      <c r="B14" s="14">
        <f>F7/F10</f>
        <v>0.75</v>
      </c>
      <c r="C14" s="15"/>
      <c r="D14" s="15"/>
      <c r="E14" s="15"/>
      <c r="F14" s="15"/>
      <c r="G14" s="1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4:G4"/>
    <mergeCell ref="A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22.0"/>
    <col customWidth="1" min="4" max="4" width="23.0"/>
    <col customWidth="1" min="5" max="5" width="22.0"/>
    <col customWidth="1" min="6" max="6" width="24.0"/>
    <col customWidth="1" min="7" max="7" width="23.0"/>
  </cols>
  <sheetData>
    <row r="1">
      <c r="A1" s="1" t="s">
        <v>122</v>
      </c>
    </row>
    <row r="2">
      <c r="A2" s="4" t="inlineStr">
        <is>
          <t>Conceitos abordados: complemento; regra do produto; probabilidade total; probabilidade condicional; Teorema de Bayes; tabela de probabilidades conjuntas.</t>
        </is>
      </c>
    </row>
    <row r="3">
      <c r="A3" s="9" t="s">
        <v>106</v>
      </c>
    </row>
    <row r="4">
      <c r="A4" s="10" t="s">
        <v>123</v>
      </c>
    </row>
    <row r="6">
      <c r="A6" s="11" t="s">
        <v>124</v>
      </c>
      <c r="B6" s="11" t="s">
        <v>125</v>
      </c>
      <c r="C6" s="11" t="s">
        <v>126</v>
      </c>
      <c r="D6" s="11" t="s">
        <v>127</v>
      </c>
      <c r="E6" s="11" t="s">
        <v>128</v>
      </c>
      <c r="F6" s="11" t="s">
        <v>129</v>
      </c>
      <c r="G6" s="11" t="s">
        <v>130</v>
      </c>
    </row>
    <row r="7">
      <c r="A7" s="12" t="s">
        <v>55</v>
      </c>
      <c r="B7" s="16">
        <v>0.25</v>
      </c>
      <c r="C7" s="16">
        <v>1.0</v>
      </c>
      <c r="D7" s="16">
        <f t="shared" ref="D7:D10" si="1">1-C7</f>
        <v>0</v>
      </c>
      <c r="E7" s="16">
        <f t="shared" ref="E7:E10" si="2">B7*C7</f>
        <v>0.25</v>
      </c>
      <c r="F7" s="16">
        <f t="shared" ref="F7:F10" si="3">B7*D7</f>
        <v>0</v>
      </c>
      <c r="G7" s="16">
        <f t="shared" ref="G7:G10" si="4">F7/SUM($F$7:$F$10)</f>
        <v>0</v>
      </c>
    </row>
    <row r="8">
      <c r="A8" s="12" t="s">
        <v>59</v>
      </c>
      <c r="B8" s="16">
        <v>0.25</v>
      </c>
      <c r="C8" s="16">
        <v>0.75</v>
      </c>
      <c r="D8" s="16">
        <f t="shared" si="1"/>
        <v>0.25</v>
      </c>
      <c r="E8" s="16">
        <f t="shared" si="2"/>
        <v>0.1875</v>
      </c>
      <c r="F8" s="16">
        <f t="shared" si="3"/>
        <v>0.0625</v>
      </c>
      <c r="G8" s="16">
        <f t="shared" si="4"/>
        <v>0.1351351351</v>
      </c>
    </row>
    <row r="9">
      <c r="A9" s="12" t="s">
        <v>62</v>
      </c>
      <c r="B9" s="16">
        <v>0.25</v>
      </c>
      <c r="C9" s="16">
        <v>0.4</v>
      </c>
      <c r="D9" s="16">
        <f t="shared" si="1"/>
        <v>0.6</v>
      </c>
      <c r="E9" s="16">
        <f t="shared" si="2"/>
        <v>0.1</v>
      </c>
      <c r="F9" s="16">
        <f t="shared" si="3"/>
        <v>0.15</v>
      </c>
      <c r="G9" s="16">
        <f t="shared" si="4"/>
        <v>0.3243243243</v>
      </c>
    </row>
    <row r="10">
      <c r="A10" s="12" t="s">
        <v>65</v>
      </c>
      <c r="B10" s="16">
        <v>0.25</v>
      </c>
      <c r="C10" s="16">
        <v>0.0</v>
      </c>
      <c r="D10" s="16">
        <f t="shared" si="1"/>
        <v>1</v>
      </c>
      <c r="E10" s="16">
        <f t="shared" si="2"/>
        <v>0</v>
      </c>
      <c r="F10" s="16">
        <f t="shared" si="3"/>
        <v>0.25</v>
      </c>
      <c r="G10" s="16">
        <f t="shared" si="4"/>
        <v>0.5405405405</v>
      </c>
    </row>
    <row r="11">
      <c r="A11" s="3" t="s">
        <v>118</v>
      </c>
      <c r="B11" s="17">
        <f>SUM(B7:B10)</f>
        <v>1</v>
      </c>
      <c r="C11" s="12"/>
      <c r="D11" s="12"/>
      <c r="E11" s="17">
        <f t="shared" ref="E11:F11" si="5">SUM(E7:E10)</f>
        <v>0.5375</v>
      </c>
      <c r="F11" s="17">
        <f t="shared" si="5"/>
        <v>0.4625</v>
      </c>
      <c r="G11" s="12"/>
    </row>
    <row r="13">
      <c r="A13" s="9" t="s">
        <v>119</v>
      </c>
    </row>
    <row r="14">
      <c r="A14" s="12" t="s">
        <v>131</v>
      </c>
      <c r="B14" s="17">
        <f>E11</f>
        <v>0.5375</v>
      </c>
    </row>
    <row r="15">
      <c r="A15" s="12" t="s">
        <v>132</v>
      </c>
      <c r="B15" s="17">
        <f t="shared" ref="B15:B17" si="6">G8</f>
        <v>0.1351351351</v>
      </c>
    </row>
    <row r="16">
      <c r="A16" s="12" t="s">
        <v>133</v>
      </c>
      <c r="B16" s="17">
        <f t="shared" si="6"/>
        <v>0.3243243243</v>
      </c>
    </row>
    <row r="17">
      <c r="A17" s="12" t="s">
        <v>134</v>
      </c>
      <c r="B17" s="17">
        <f t="shared" si="6"/>
        <v>0.5405405405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4:G4"/>
    <mergeCell ref="A2:G2"/>
  </mergeCells>
  <drawing r:id="rId1"/>
</worksheet>
</file>